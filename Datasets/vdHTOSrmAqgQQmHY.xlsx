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1_Descriptive" sheetId="1" state="visible" r:id="rId3"/>
    <sheet name="Part2_OneSample" sheetId="2" state="visible" r:id="rId4"/>
    <sheet name="Part3_TwoSample" sheetId="3" state="visible" r:id="rId5"/>
    <sheet name="Part4_Regres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<sst xmlns="http://schemas.openxmlformats.org/spreadsheetml/2006/main" count="1351" uniqueCount="923">
  <si>
    <t xml:space="preserve">Part 1 — Descriptive Analytics &amp; Distribution Analysis</t>
  </si>
  <si>
    <t xml:space="preserve">#</t>
  </si>
  <si>
    <t xml:space="preserve">date</t>
  </si>
  <si>
    <t xml:space="preserve">avg_session_duration</t>
  </si>
  <si>
    <t xml:space="preserve">weekly_active_users</t>
  </si>
  <si>
    <t xml:space="preserve">daily_revenue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</si>
  <si>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</si>
  <si>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</si>
  <si>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</si>
  <si>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</si>
  <si>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</si>
  <si>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</si>
  <si>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</si>
  <si>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</si>
  <si>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</si>
  <si>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</si>
  <si>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</si>
  <si>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</si>
  <si>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</si>
  <si>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</si>
  <si>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</si>
  <si>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</si>
  <si>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</si>
  <si>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</si>
  <si>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</si>
  <si>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</si>
  <si>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</si>
  <si>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</si>
  <si>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</si>
  <si>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</si>
  <si>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</si>
  <si>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</si>
  <si>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</si>
  <si>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</si>
  <si>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</si>
  <si>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</si>
  <si>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</si>
  <si>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</si>
  <si>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</si>
  <si>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</si>
  <si>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</si>
  <si>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</si>
  <si>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</si>
  <si>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</si>
  <si>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</si>
  <si>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</si>
  <si>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</si>
  <si>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</si>
  <si>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</si>
  <si>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</si>
  <si>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</si>
  <si>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</si>
  <si>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</si>
  <si>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</si>
  <si>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</si>
  <si>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</si>
  <si>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</si>
  <si>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</si>
  <si>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</si>
  <si>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</si>
  <si>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</si>
  <si>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</si>
  <si>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</si>
  <si>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</si>
  <si>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</si>
  <si>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</si>
  <si>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</si>
  <si>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</si>
  <si>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</si>
  <si>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</si>
  <si>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</si>
  <si>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</si>
  <si>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</si>
  <si>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</si>
  <si>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</si>
  <si>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</si>
  <si>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</si>
  <si>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</si>
  <si>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</si>
  <si>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</si>
  <si>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</si>
  <si>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</si>
  <si>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</si>
  <si>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</si>
  <si>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</si>
  <si>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</si>
  <si>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</si>
  <si>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</si>
  <si>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</si>
  <si>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</si>
  <si>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</si>
  <si>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</si>
  <si>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</si>
  <si>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</si>
  <si>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</si>
  <si>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</si>
  <si>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</si>
  <si>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</si>
  <si>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</si>
  <si>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</si>
  <si>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</si>
  <si>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</si>
  <si>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</si>
  <si>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</si>
  <si>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</si>
  <si>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</si>
  <si>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</si>
  <si>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</si>
  <si>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</si>
  <si>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</si>
  <si>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</si>
  <si>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</si>
  <si>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</si>
  <si>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</si>
  <si>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</si>
  <si>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</si>
  <si>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</si>
  <si>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</si>
  <si>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</si>
  <si>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</si>
  <si>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</si>
  <si>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</si>
  <si>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</si>
  <si>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</si>
  <si>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</si>
  <si>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</si>
  <si>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</si>
  <si>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</si>
  <si>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</si>
  <si>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</si>
  <si>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</si>
  <si>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</si>
  <si>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</si>
  <si>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</si>
  <si>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</si>
  <si>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</si>
  <si>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</si>
  <si>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</si>
  <si>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</si>
  <si>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</si>
  <si>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</si>
  <si>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</si>
  <si>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</si>
  <si>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</si>
  <si>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</si>
  <si>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</si>
  <si>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</si>
  <si>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</si>
  <si>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</si>
  <si>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</si>
  <si>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</si>
  <si>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</si>
  <si>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</si>
  <si>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</si>
  <si>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</si>
  <si>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</si>
  <si>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</si>
  <si>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</si>
  <si>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</si>
  <si>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</si>
  <si>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</si>
  <si>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</si>
  <si>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</si>
  <si>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</si>
  <si>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</si>
  <si>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</si>
  <si>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</si>
  <si>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</si>
  <si>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</si>
  <si>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</si>
  <si>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</si>
  <si>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</si>
  <si>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</si>
  <si>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</si>
  <si>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</si>
  <si>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</si>
  <si>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</si>
  <si>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</si>
  <si>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</si>
  <si>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</si>
  <si>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</si>
  <si>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</si>
  <si>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</si>
  <si>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</si>
  <si>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</si>
  <si>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</si>
  <si>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</si>
  <si>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</si>
  <si>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</si>
  <si>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</si>
  <si>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</si>
  <si>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</si>
  <si>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</si>
  <si>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</si>
  <si>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</si>
  <si>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</si>
  <si>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</si>
  <si>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</si>
  <si>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</si>
  <si>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</si>
  <si>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</si>
  <si>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</si>
  <si>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</si>
  <si>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</si>
  <si>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</si>
  <si>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</si>
  <si>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</si>
  <si>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</si>
  <si>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</si>
  <si>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</si>
  <si>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</si>
  <si>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</si>
  <si>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</si>
  <si>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</si>
  <si>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</si>
  <si>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</si>
  <si>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</si>
  <si>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</si>
  <si>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</si>
  <si>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</si>
  <si>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</si>
  <si>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</si>
  <si>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</si>
  <si>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</si>
  <si>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</si>
  <si>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</si>
  <si>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</si>
  <si>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</si>
  <si>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</si>
  <si>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</si>
  <si>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</si>
  <si>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</si>
  <si>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</si>
  <si>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</si>
  <si>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</si>
  <si>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</si>
  <si>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</si>
  <si>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</si>
  <si>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</si>
  <si>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</si>
  <si>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</si>
  <si>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</si>
  <si>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</si>
  <si>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</si>
  <si>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</si>
  <si>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</si>
  <si>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</si>
  <si>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</si>
  <si>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</si>
  <si>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</si>
  <si>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</si>
  <si>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</si>
  <si>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</si>
  <si>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</si>
  <si>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</si>
  <si>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</si>
  <si>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</si>
  <si>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</si>
  <si>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</si>
  <si>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</si>
  <si>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</si>
  <si>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</si>
  <si>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</si>
  <si>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</si>
  <si>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</si>
  <si>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</si>
  <si>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</si>
  <si>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</si>
  <si>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</si>
  <si>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</si>
  <si>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</si>
  <si>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</si>
  <si>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</si>
  <si>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</si>
  <si>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</si>
  <si>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</si>
  <si>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Q1.1 — Descriptive Statistics for avg_session_duration</t>
  </si>
  <si>
    <t xml:space="preserve">Statistic</t>
  </si>
  <si>
    <t xml:space="preserve">Formula</t>
  </si>
  <si>
    <t xml:space="preserve">Result</t>
  </si>
  <si>
    <t xml:space="preserve">Mean</t>
  </si>
  <si>
    <t xml:space="preserve">Median</t>
  </si>
  <si>
    <t xml:space="preserve">Sample SD (STDEV)</t>
  </si>
  <si>
    <t xml:space="preserve">Minimum</t>
  </si>
  <si>
    <t xml:space="preserve">Maximum</t>
  </si>
  <si>
    <t xml:space="preserve">Interpretation (3 sentences)</t>
  </si>
  <si>
    <t xml:space="preserve">1. The mean average session duration of 32.89 minutes and median of 33.20 minutes are nearly identical; the moment skewness coefficient (+0.19) and the histogram both confirm a slight right skew, with a longer tail extending toward 50-minute sessions.</t>
  </si>
  <si>
    <t xml:space="preserve">2. The sample standard deviation of 6.44 minutes shows moderate variability, meaning most sessions fall within approximately one standard deviation of the mean — roughly between 26 and 40 minutes.</t>
  </si>
  <si>
    <t xml:space="preserve">3. The typical ~33-minute session suggests FitLife users are completing moderate-length workouts, and the platform should optimise content and pacing for this core window rather than designing for very short or very long sessions.</t>
  </si>
  <si>
    <t xml:space="preserve">Q1.2 — Frequency Distribution for avg_session_duration</t>
  </si>
  <si>
    <t xml:space="preserve">Bin</t>
  </si>
  <si>
    <t xml:space="preserve">Range</t>
  </si>
  <si>
    <t xml:space="preserve">Count</t>
  </si>
  <si>
    <t xml:space="preserve">Bin 1</t>
  </si>
  <si>
    <t xml:space="preserve">20 to &lt;25</t>
  </si>
  <si>
    <t xml:space="preserve">Bin 2</t>
  </si>
  <si>
    <t xml:space="preserve">25 to &lt;30</t>
  </si>
  <si>
    <t xml:space="preserve">Bin 3</t>
  </si>
  <si>
    <t xml:space="preserve">30 to &lt;35</t>
  </si>
  <si>
    <t xml:space="preserve">Bin 4</t>
  </si>
  <si>
    <t xml:space="preserve">35 to &lt;40</t>
  </si>
  <si>
    <t xml:space="preserve">Bin 5</t>
  </si>
  <si>
    <t xml:space="preserve">40 to &lt;45</t>
  </si>
  <si>
    <t xml:space="preserve">Bin 6</t>
  </si>
  <si>
    <t xml:space="preserve">45 to 50</t>
  </si>
  <si>
    <t xml:space="preserve">TOTAL</t>
  </si>
  <si>
    <t xml:space="preserve">Must equal 270</t>
  </si>
  <si>
    <t xml:space="preserve">Assessment (2 sentences)</t>
  </si>
  <si>
    <t xml:space="preserve">1. The frequency distribution is not perfectly normal — it is moderately right-skewed, with the highest counts in the 30–35 (72) and 35–40 (70) bins and a notably longer right tail toward 50 minutes.</t>
  </si>
  <si>
    <t xml:space="preserve">2. The lower bins contain substantially more observations than the upper bins (Bin 2: 61 vs Bin 5: 23; Bin 1: 33 vs Bin 6: 11), confirming asymmetry and indicating more sessions fall in shorter ranges than a symmetric normal distribution would predict.</t>
  </si>
  <si>
    <t xml:space="preserve">Q1.3 — Normal Probability Calculation</t>
  </si>
  <si>
    <t xml:space="preserve">Step</t>
  </si>
  <si>
    <t xml:space="preserve">Label</t>
  </si>
  <si>
    <t xml:space="preserve">Formula / Reference</t>
  </si>
  <si>
    <t xml:space="preserve">Value</t>
  </si>
  <si>
    <t xml:space="preserve">1</t>
  </si>
  <si>
    <t xml:space="preserve">Mean (from Q1.1)</t>
  </si>
  <si>
    <t xml:space="preserve">2</t>
  </si>
  <si>
    <t xml:space="preserve">SD (from Q1.1)</t>
  </si>
  <si>
    <t xml:space="preserve">3</t>
  </si>
  <si>
    <t xml:space="preserve">P(X ≤ 42)</t>
  </si>
  <si>
    <t xml:space="preserve">4</t>
  </si>
  <si>
    <t xml:space="preserve">P(X ≤ 28)</t>
  </si>
  <si>
    <t xml:space="preserve">5</t>
  </si>
  <si>
    <t xml:space="preserve">P(28 &lt; X &lt; 42) = P(X≤42) − P(X≤28)</t>
  </si>
  <si>
    <t xml:space="preserve">6</t>
  </si>
  <si>
    <t xml:space="preserve">Final Percentage</t>
  </si>
  <si>
    <t xml:space="preserve">Interpretation (2 sentences)</t>
  </si>
  <si>
    <t xml:space="preserve">1. Approximately 69.79% of FitLife session durations fall between 28 and 42 minutes, meaning roughly 7 in every 10 sessions land within this moderate-length window under the normal distribution assumption.</t>
  </si>
  <si>
    <t xml:space="preserve">2. This concentration around the 28–42 minute band confirms that the platform's content, milestone triggers, and engagement features should all be optimised for users completing sessions in this range.</t>
  </si>
  <si>
    <t xml:space="preserve">Part 2 — One-Sample T-Test: FitLife User Retention Rate</t>
  </si>
  <si>
    <t xml:space="preserve">Q2.1 — Hypotheses</t>
  </si>
  <si>
    <t xml:space="preserve">Component</t>
  </si>
  <si>
    <t xml:space="preserve">Notation</t>
  </si>
  <si>
    <t xml:space="preserve">In Words</t>
  </si>
  <si>
    <t xml:space="preserve">H₀ (Null)</t>
  </si>
  <si>
    <t xml:space="preserve">H₀: μ = 70</t>
  </si>
  <si>
    <t xml:space="preserve">The mean retention rate equals 70%</t>
  </si>
  <si>
    <t xml:space="preserve">H₁ (Alternative)</t>
  </si>
  <si>
    <t xml:space="preserve">H₁: μ ≠ 70</t>
  </si>
  <si>
    <t xml:space="preserve">The mean retention rate is different from 70%</t>
  </si>
  <si>
    <t xml:space="preserve">Test Type</t>
  </si>
  <si>
    <t xml:space="preserve">Two-tailed</t>
  </si>
  <si>
    <t xml:space="preserve">Tests for difference in EITHER direction (too high OR too low)</t>
  </si>
  <si>
    <t xml:space="preserve">Significance Level</t>
  </si>
  <si>
    <t xml:space="preserve">α = 0.05</t>
  </si>
  <si>
    <t xml:space="preserve">5% significance level</t>
  </si>
  <si>
    <t xml:space="preserve">Q2.2 — Calculation Steps</t>
  </si>
  <si>
    <t xml:space="preserve">Parameter</t>
  </si>
  <si>
    <t xml:space="preserve">Note</t>
  </si>
  <si>
    <t xml:space="preserve">Sample Mean (X̄)</t>
  </si>
  <si>
    <t xml:space="preserve">Given</t>
  </si>
  <si>
    <t xml:space="preserve">Hypothesised Mean (μ₀)</t>
  </si>
  <si>
    <t xml:space="preserve">Executive target</t>
  </si>
  <si>
    <t xml:space="preserve">Sample SD (s)</t>
  </si>
  <si>
    <t xml:space="preserve">Sample Size (n)</t>
  </si>
  <si>
    <t xml:space="preserve">Weekly observations</t>
  </si>
  <si>
    <t xml:space="preserve">Calculation</t>
  </si>
  <si>
    <t xml:space="preserve">Standard Error (SE)</t>
  </si>
  <si>
    <t xml:space="preserve">t-statistic</t>
  </si>
  <si>
    <t xml:space="preserve">Degrees of Freedom (df)</t>
  </si>
  <si>
    <t xml:space="preserve">p-value (two-tailed)</t>
  </si>
  <si>
    <t xml:space="preserve">Q2.3 — Decision &amp; Interpretation</t>
  </si>
  <si>
    <t xml:space="preserve">Decision</t>
  </si>
  <si>
    <t xml:space="preserve">Statistical Interpretation (2 sentences)</t>
  </si>
  <si>
    <t xml:space="preserve">1. The p-value of 0.0151 is less than α = 0.05, providing sufficient statistical evidence to reject H₀ — the sample mean of 68.5% is statistically significantly different from the hypothesised 70%.</t>
  </si>
  <si>
    <t xml:space="preserve">2. There is sufficient statistical evidence at the 5% significance level to conclude that FitLife's true mean retention rate differs from the 70% benchmark, and this difference is unlikely to be due to random sampling variation.</t>
  </si>
  <si>
    <t xml:space="preserve">Business Interpretation (3 sentences)</t>
  </si>
  <si>
    <t xml:space="preserve">1. FitLife's actual retention rate of 68.5% falls statistically significantly below the 70% sustainability benchmark — this is a genuine, reliable shortfall, not a data artefact, and warrants immediate attention.</t>
  </si>
  <si>
    <t xml:space="preserve">2. The gap of 1.5 percentage points may appear small, but with 180 observations the test has sufficient power to confirm this is systematic underperformance rather than sampling noise.</t>
  </si>
  <si>
    <t xml:space="preserve">3. The executive team should investigate early churn drivers — onboarding friction, content relevance, or pricing barriers — and implement targeted retention interventions to close the gap to the 70% target.</t>
  </si>
  <si>
    <t xml:space="preserve">Part 3 — Two-Sample T-Test: A/B Onboarding Experiment</t>
  </si>
  <si>
    <t xml:space="preserve">user_id</t>
  </si>
  <si>
    <t xml:space="preserve">group</t>
  </si>
  <si>
    <t xml:space="preserve">engagement_score</t>
  </si>
  <si>
    <t xml:space="preserve">USER_0210</t>
  </si>
  <si>
    <t xml:space="preserve">B</t>
  </si>
  <si>
    <t xml:space="preserve">USER_0281</t>
  </si>
  <si>
    <t xml:space="preserve">USER_0034</t>
  </si>
  <si>
    <t xml:space="preserve">A</t>
  </si>
  <si>
    <t xml:space="preserve">USER_0211</t>
  </si>
  <si>
    <t xml:space="preserve">USER_0094</t>
  </si>
  <si>
    <t xml:space="preserve">USER_0085</t>
  </si>
  <si>
    <t xml:space="preserve">USER_0330</t>
  </si>
  <si>
    <t xml:space="preserve">USER_0095</t>
  </si>
  <si>
    <t xml:space="preserve">USER_0267</t>
  </si>
  <si>
    <t xml:space="preserve">USER_0127</t>
  </si>
  <si>
    <t xml:space="preserve">USER_0010</t>
  </si>
  <si>
    <t xml:space="preserve">USER_0362</t>
  </si>
  <si>
    <t xml:space="preserve">USER_0057</t>
  </si>
  <si>
    <t xml:space="preserve">USER_0073</t>
  </si>
  <si>
    <t xml:space="preserve">USER_0133</t>
  </si>
  <si>
    <t xml:space="preserve">USER_0043</t>
  </si>
  <si>
    <t xml:space="preserve">USER_0279</t>
  </si>
  <si>
    <t xml:space="preserve">USER_0377</t>
  </si>
  <si>
    <t xml:space="preserve">USER_0232</t>
  </si>
  <si>
    <t xml:space="preserve">USER_0386</t>
  </si>
  <si>
    <t xml:space="preserve">USER_0078</t>
  </si>
  <si>
    <t xml:space="preserve">USER_0016</t>
  </si>
  <si>
    <t xml:space="preserve">USER_0392</t>
  </si>
  <si>
    <t xml:space="preserve">USER_0272</t>
  </si>
  <si>
    <t xml:space="preserve">USER_0001</t>
  </si>
  <si>
    <t xml:space="preserve">USER_0397</t>
  </si>
  <si>
    <t xml:space="preserve">USER_0115</t>
  </si>
  <si>
    <t xml:space="preserve">USER_0226</t>
  </si>
  <si>
    <t xml:space="preserve">USER_0263</t>
  </si>
  <si>
    <t xml:space="preserve">USER_0105</t>
  </si>
  <si>
    <t xml:space="preserve">USER_0396</t>
  </si>
  <si>
    <t xml:space="preserve">USER_0194</t>
  </si>
  <si>
    <t xml:space="preserve">USER_0262</t>
  </si>
  <si>
    <t xml:space="preserve">USER_0058</t>
  </si>
  <si>
    <t xml:space="preserve">USER_0233</t>
  </si>
  <si>
    <t xml:space="preserve">USER_0117</t>
  </si>
  <si>
    <t xml:space="preserve">USER_0114</t>
  </si>
  <si>
    <t xml:space="preserve">USER_0343</t>
  </si>
  <si>
    <t xml:space="preserve">USER_0159</t>
  </si>
  <si>
    <t xml:space="preserve">USER_0142</t>
  </si>
  <si>
    <t xml:space="preserve">USER_0382</t>
  </si>
  <si>
    <t xml:space="preserve">USER_0056</t>
  </si>
  <si>
    <t xml:space="preserve">USER_0077</t>
  </si>
  <si>
    <t xml:space="preserve">USER_0026</t>
  </si>
  <si>
    <t xml:space="preserve">USER_0083</t>
  </si>
  <si>
    <t xml:space="preserve">USER_0383</t>
  </si>
  <si>
    <t xml:space="preserve">USER_0149</t>
  </si>
  <si>
    <t xml:space="preserve">USER_0182</t>
  </si>
  <si>
    <t xml:space="preserve">USER_0023</t>
  </si>
  <si>
    <t xml:space="preserve">USER_0174</t>
  </si>
  <si>
    <t xml:space="preserve">USER_0047</t>
  </si>
  <si>
    <t xml:space="preserve">USER_0322</t>
  </si>
  <si>
    <t xml:space="preserve">USER_0339</t>
  </si>
  <si>
    <t xml:space="preserve">USER_0071</t>
  </si>
  <si>
    <t xml:space="preserve">USER_0375</t>
  </si>
  <si>
    <t xml:space="preserve">USER_0040</t>
  </si>
  <si>
    <t xml:space="preserve">USER_0224</t>
  </si>
  <si>
    <t xml:space="preserve">USER_0173</t>
  </si>
  <si>
    <t xml:space="preserve">USER_0031</t>
  </si>
  <si>
    <t xml:space="preserve">USER_0153</t>
  </si>
  <si>
    <t xml:space="preserve">USER_0125</t>
  </si>
  <si>
    <t xml:space="preserve">USER_0295</t>
  </si>
  <si>
    <t xml:space="preserve">USER_0256</t>
  </si>
  <si>
    <t xml:space="preserve">USER_0079</t>
  </si>
  <si>
    <t xml:space="preserve">USER_0102</t>
  </si>
  <si>
    <t xml:space="preserve">USER_0032</t>
  </si>
  <si>
    <t xml:space="preserve">USER_0353</t>
  </si>
  <si>
    <t xml:space="preserve">USER_0269</t>
  </si>
  <si>
    <t xml:space="preserve">USER_0395</t>
  </si>
  <si>
    <t xml:space="preserve">USER_0074</t>
  </si>
  <si>
    <t xml:space="preserve">USER_0321</t>
  </si>
  <si>
    <t xml:space="preserve">USER_0141</t>
  </si>
  <si>
    <t xml:space="preserve">USER_0006</t>
  </si>
  <si>
    <t xml:space="preserve">USER_0046</t>
  </si>
  <si>
    <t xml:space="preserve">USER_0389</t>
  </si>
  <si>
    <t xml:space="preserve">USER_0247</t>
  </si>
  <si>
    <t xml:space="preserve">USER_0228</t>
  </si>
  <si>
    <t xml:space="preserve">USER_0370</t>
  </si>
  <si>
    <t xml:space="preserve">USER_0177</t>
  </si>
  <si>
    <t xml:space="preserve">USER_0290</t>
  </si>
  <si>
    <t xml:space="preserve">USER_0004</t>
  </si>
  <si>
    <t xml:space="preserve">USER_0019</t>
  </si>
  <si>
    <t xml:space="preserve">USER_0203</t>
  </si>
  <si>
    <t xml:space="preserve">USER_0251</t>
  </si>
  <si>
    <t xml:space="preserve">USER_0275</t>
  </si>
  <si>
    <t xml:space="preserve">USER_0064</t>
  </si>
  <si>
    <t xml:space="preserve">USER_0249</t>
  </si>
  <si>
    <t xml:space="preserve">USER_0302</t>
  </si>
  <si>
    <t xml:space="preserve">USER_0109</t>
  </si>
  <si>
    <t xml:space="preserve">USER_0091</t>
  </si>
  <si>
    <t xml:space="preserve">USER_0234</t>
  </si>
  <si>
    <t xml:space="preserve">USER_0336</t>
  </si>
  <si>
    <t xml:space="preserve">USER_0119</t>
  </si>
  <si>
    <t xml:space="preserve">USER_0221</t>
  </si>
  <si>
    <t xml:space="preserve">USER_0181</t>
  </si>
  <si>
    <t xml:space="preserve">USER_0315</t>
  </si>
  <si>
    <t xml:space="preserve">USER_0374</t>
  </si>
  <si>
    <t xml:space="preserve">USER_0381</t>
  </si>
  <si>
    <t xml:space="preserve">USER_0240</t>
  </si>
  <si>
    <t xml:space="preserve">USER_0076</t>
  </si>
  <si>
    <t xml:space="preserve">USER_0248</t>
  </si>
  <si>
    <t xml:space="preserve">USER_0111</t>
  </si>
  <si>
    <t xml:space="preserve">USER_0017</t>
  </si>
  <si>
    <t xml:space="preserve">USER_0067</t>
  </si>
  <si>
    <t xml:space="preserve">USER_0154</t>
  </si>
  <si>
    <t xml:space="preserve">USER_0008</t>
  </si>
  <si>
    <t xml:space="preserve">USER_0020</t>
  </si>
  <si>
    <t xml:space="preserve">USER_0138</t>
  </si>
  <si>
    <t xml:space="preserve">USER_0356</t>
  </si>
  <si>
    <t xml:space="preserve">USER_0350</t>
  </si>
  <si>
    <t xml:space="preserve">USER_0132</t>
  </si>
  <si>
    <t xml:space="preserve">USER_0388</t>
  </si>
  <si>
    <t xml:space="preserve">USER_0293</t>
  </si>
  <si>
    <t xml:space="preserve">USER_0387</t>
  </si>
  <si>
    <t xml:space="preserve">USER_0298</t>
  </si>
  <si>
    <t xml:space="preserve">USER_0061</t>
  </si>
  <si>
    <t xml:space="preserve">USER_0080</t>
  </si>
  <si>
    <t xml:space="preserve">USER_0286</t>
  </si>
  <si>
    <t xml:space="preserve">USER_0306</t>
  </si>
  <si>
    <t xml:space="preserve">USER_0282</t>
  </si>
  <si>
    <t xml:space="preserve">USER_0158</t>
  </si>
  <si>
    <t xml:space="preserve">USER_0110</t>
  </si>
  <si>
    <t xml:space="preserve">USER_0018</t>
  </si>
  <si>
    <t xml:space="preserve">USER_0348</t>
  </si>
  <si>
    <t xml:space="preserve">USER_0025</t>
  </si>
  <si>
    <t xml:space="preserve">USER_0176</t>
  </si>
  <si>
    <t xml:space="preserve">USER_0352</t>
  </si>
  <si>
    <t xml:space="preserve">USER_0333</t>
  </si>
  <si>
    <t xml:space="preserve">USER_0168</t>
  </si>
  <si>
    <t xml:space="preserve">USER_0246</t>
  </si>
  <si>
    <t xml:space="preserve">USER_0312</t>
  </si>
  <si>
    <t xml:space="preserve">USER_0146</t>
  </si>
  <si>
    <t xml:space="preserve">USER_0259</t>
  </si>
  <si>
    <t xml:space="preserve">USER_0178</t>
  </si>
  <si>
    <t xml:space="preserve">USER_0120</t>
  </si>
  <si>
    <t xml:space="preserve">USER_0195</t>
  </si>
  <si>
    <t xml:space="preserve">USER_0230</t>
  </si>
  <si>
    <t xml:space="preserve">USER_0266</t>
  </si>
  <si>
    <t xml:space="preserve">USER_0219</t>
  </si>
  <si>
    <t xml:space="preserve">USER_0308</t>
  </si>
  <si>
    <t xml:space="preserve">USER_0037</t>
  </si>
  <si>
    <t xml:space="preserve">USER_0140</t>
  </si>
  <si>
    <t xml:space="preserve">USER_0292</t>
  </si>
  <si>
    <t xml:space="preserve">USER_0156</t>
  </si>
  <si>
    <t xml:space="preserve">USER_0197</t>
  </si>
  <si>
    <t xml:space="preserve">USER_0285</t>
  </si>
  <si>
    <t xml:space="preserve">USER_0060</t>
  </si>
  <si>
    <t xml:space="preserve">USER_0112</t>
  </si>
  <si>
    <t xml:space="preserve">USER_0166</t>
  </si>
  <si>
    <t xml:space="preserve">USER_0364</t>
  </si>
  <si>
    <t xml:space="preserve">USER_0007</t>
  </si>
  <si>
    <t xml:space="preserve">USER_0334</t>
  </si>
  <si>
    <t xml:space="preserve">USER_0276</t>
  </si>
  <si>
    <t xml:space="preserve">USER_0151</t>
  </si>
  <si>
    <t xml:space="preserve">USER_0011</t>
  </si>
  <si>
    <t xml:space="preserve">USER_0193</t>
  </si>
  <si>
    <t xml:space="preserve">USER_0104</t>
  </si>
  <si>
    <t xml:space="preserve">USER_0082</t>
  </si>
  <si>
    <t xml:space="preserve">USER_0317</t>
  </si>
  <si>
    <t xml:space="preserve">USER_0399</t>
  </si>
  <si>
    <t xml:space="preserve">USER_0376</t>
  </si>
  <si>
    <t xml:space="preserve">USER_0209</t>
  </si>
  <si>
    <t xml:space="preserve">USER_0287</t>
  </si>
  <si>
    <t xml:space="preserve">USER_0169</t>
  </si>
  <si>
    <t xml:space="preserve">USER_0354</t>
  </si>
  <si>
    <t xml:space="preserve">USER_0090</t>
  </si>
  <si>
    <t xml:space="preserve">USER_0378</t>
  </si>
  <si>
    <t xml:space="preserve">USER_0164</t>
  </si>
  <si>
    <t xml:space="preserve">USER_0148</t>
  </si>
  <si>
    <t xml:space="preserve">USER_0229</t>
  </si>
  <si>
    <t xml:space="preserve">USER_0093</t>
  </si>
  <si>
    <t xml:space="preserve">USER_0070</t>
  </si>
  <si>
    <t xml:space="preserve">USER_0124</t>
  </si>
  <si>
    <t xml:space="preserve">USER_0097</t>
  </si>
  <si>
    <t xml:space="preserve">USER_0144</t>
  </si>
  <si>
    <t xml:space="preserve">USER_0327</t>
  </si>
  <si>
    <t xml:space="preserve">USER_0098</t>
  </si>
  <si>
    <t xml:space="preserve">USER_0239</t>
  </si>
  <si>
    <t xml:space="preserve">USER_0069</t>
  </si>
  <si>
    <t xml:space="preserve">USER_0024</t>
  </si>
  <si>
    <t xml:space="preserve">USER_0038</t>
  </si>
  <si>
    <t xml:space="preserve">USER_0145</t>
  </si>
  <si>
    <t xml:space="preserve">USER_0123</t>
  </si>
  <si>
    <t xml:space="preserve">USER_0183</t>
  </si>
  <si>
    <t xml:space="preserve">USER_0068</t>
  </si>
  <si>
    <t xml:space="preserve">USER_0199</t>
  </si>
  <si>
    <t xml:space="preserve">USER_0325</t>
  </si>
  <si>
    <t xml:space="preserve">USER_0220</t>
  </si>
  <si>
    <t xml:space="preserve">USER_0318</t>
  </si>
  <si>
    <t xml:space="preserve">USER_0196</t>
  </si>
  <si>
    <t xml:space="preserve">USER_0126</t>
  </si>
  <si>
    <t xml:space="preserve">USER_0147</t>
  </si>
  <si>
    <t xml:space="preserve">USER_0372</t>
  </si>
  <si>
    <t xml:space="preserve">USER_0087</t>
  </si>
  <si>
    <t xml:space="preserve">USER_0337</t>
  </si>
  <si>
    <t xml:space="preserve">USER_0341</t>
  </si>
  <si>
    <t xml:space="preserve">USER_0338</t>
  </si>
  <si>
    <t xml:space="preserve">USER_0355</t>
  </si>
  <si>
    <t xml:space="preserve">USER_0335</t>
  </si>
  <si>
    <t xml:space="preserve">USER_0303</t>
  </si>
  <si>
    <t xml:space="preserve">USER_0184</t>
  </si>
  <si>
    <t xml:space="preserve">USER_0204</t>
  </si>
  <si>
    <t xml:space="preserve">USER_0284</t>
  </si>
  <si>
    <t xml:space="preserve">USER_0212</t>
  </si>
  <si>
    <t xml:space="preserve">USER_0283</t>
  </si>
  <si>
    <t xml:space="preserve">USER_0130</t>
  </si>
  <si>
    <t xml:space="preserve">USER_0039</t>
  </si>
  <si>
    <t xml:space="preserve">USER_0012</t>
  </si>
  <si>
    <t xml:space="preserve">USER_0326</t>
  </si>
  <si>
    <t xml:space="preserve">USER_0186</t>
  </si>
  <si>
    <t xml:space="preserve">USER_0223</t>
  </si>
  <si>
    <t xml:space="preserve">USER_0113</t>
  </si>
  <si>
    <t xml:space="preserve">USER_0180</t>
  </si>
  <si>
    <t xml:space="preserve">USER_0328</t>
  </si>
  <si>
    <t xml:space="preserve">USER_0300</t>
  </si>
  <si>
    <t xml:space="preserve">USER_0118</t>
  </si>
  <si>
    <t xml:space="preserve">USER_0369</t>
  </si>
  <si>
    <t xml:space="preserve">USER_0278</t>
  </si>
  <si>
    <t xml:space="preserve">USER_0385</t>
  </si>
  <si>
    <t xml:space="preserve">USER_0288</t>
  </si>
  <si>
    <t xml:space="preserve">USER_0363</t>
  </si>
  <si>
    <t xml:space="preserve">USER_0165</t>
  </si>
  <si>
    <t xml:space="preserve">USER_0254</t>
  </si>
  <si>
    <t xml:space="preserve">USER_0137</t>
  </si>
  <si>
    <t xml:space="preserve">USER_0155</t>
  </si>
  <si>
    <t xml:space="preserve">USER_0200</t>
  </si>
  <si>
    <t xml:space="preserve">USER_0198</t>
  </si>
  <si>
    <t xml:space="preserve">USER_0393</t>
  </si>
  <si>
    <t xml:space="preserve">USER_0003</t>
  </si>
  <si>
    <t xml:space="preserve">USER_0205</t>
  </si>
  <si>
    <t xml:space="preserve">USER_0116</t>
  </si>
  <si>
    <t xml:space="preserve">USER_0235</t>
  </si>
  <si>
    <t xml:space="preserve">USER_0238</t>
  </si>
  <si>
    <t xml:space="preserve">USER_0027</t>
  </si>
  <si>
    <t xml:space="preserve">USER_0121</t>
  </si>
  <si>
    <t xml:space="preserve">USER_0358</t>
  </si>
  <si>
    <t xml:space="preserve">USER_0225</t>
  </si>
  <si>
    <t xml:space="preserve">USER_0361</t>
  </si>
  <si>
    <t xml:space="preserve">USER_0379</t>
  </si>
  <si>
    <t xml:space="preserve">USER_0351</t>
  </si>
  <si>
    <t xml:space="preserve">USER_0380</t>
  </si>
  <si>
    <t xml:space="preserve">USER_0128</t>
  </si>
  <si>
    <t xml:space="preserve">USER_0075</t>
  </si>
  <si>
    <t xml:space="preserve">USER_0323</t>
  </si>
  <si>
    <t xml:space="preserve">USER_0030</t>
  </si>
  <si>
    <t xml:space="preserve">USER_0084</t>
  </si>
  <si>
    <t xml:space="preserve">USER_0390</t>
  </si>
  <si>
    <t xml:space="preserve">USER_0108</t>
  </si>
  <si>
    <t xml:space="preserve">USER_0250</t>
  </si>
  <si>
    <t xml:space="preserve">USER_0297</t>
  </si>
  <si>
    <t xml:space="preserve">USER_0134</t>
  </si>
  <si>
    <t xml:space="preserve">USER_0245</t>
  </si>
  <si>
    <t xml:space="preserve">USER_0185</t>
  </si>
  <si>
    <t xml:space="preserve">USER_0291</t>
  </si>
  <si>
    <t xml:space="preserve">USER_0045</t>
  </si>
  <si>
    <t xml:space="preserve">USER_0368</t>
  </si>
  <si>
    <t xml:space="preserve">USER_0066</t>
  </si>
  <si>
    <t xml:space="preserve">USER_0086</t>
  </si>
  <si>
    <t xml:space="preserve">USER_0243</t>
  </si>
  <si>
    <t xml:space="preserve">USER_0187</t>
  </si>
  <si>
    <t xml:space="preserve">USER_0160</t>
  </si>
  <si>
    <t xml:space="preserve">USER_0013</t>
  </si>
  <si>
    <t xml:space="preserve">USER_0036</t>
  </si>
  <si>
    <t xml:space="preserve">USER_0029</t>
  </si>
  <si>
    <t xml:space="preserve">USER_0171</t>
  </si>
  <si>
    <t xml:space="preserve">USER_0143</t>
  </si>
  <si>
    <t xml:space="preserve">USER_0319</t>
  </si>
  <si>
    <t xml:space="preserve">USER_0273</t>
  </si>
  <si>
    <t xml:space="preserve">USER_0222</t>
  </si>
  <si>
    <t xml:space="preserve">USER_0096</t>
  </si>
  <si>
    <t xml:space="preserve">USER_0052</t>
  </si>
  <si>
    <t xml:space="preserve">USER_0241</t>
  </si>
  <si>
    <t xml:space="preserve">USER_0299</t>
  </si>
  <si>
    <t xml:space="preserve">USER_0305</t>
  </si>
  <si>
    <t xml:space="preserve">USER_0179</t>
  </si>
  <si>
    <t xml:space="preserve">USER_0042</t>
  </si>
  <si>
    <t xml:space="preserve">USER_0311</t>
  </si>
  <si>
    <t xml:space="preserve">USER_0207</t>
  </si>
  <si>
    <t xml:space="preserve">USER_0255</t>
  </si>
  <si>
    <t xml:space="preserve">USER_0332</t>
  </si>
  <si>
    <t xml:space="preserve">USER_0005</t>
  </si>
  <si>
    <t xml:space="preserve">USER_0257</t>
  </si>
  <si>
    <t xml:space="preserve">USER_0359</t>
  </si>
  <si>
    <t xml:space="preserve">USER_0101</t>
  </si>
  <si>
    <t xml:space="preserve">USER_0227</t>
  </si>
  <si>
    <t xml:space="preserve">USER_0342</t>
  </si>
  <si>
    <t xml:space="preserve">USER_0214</t>
  </si>
  <si>
    <t xml:space="preserve">USER_0172</t>
  </si>
  <si>
    <t xml:space="preserve">USER_0099</t>
  </si>
  <si>
    <t xml:space="preserve">USER_0216</t>
  </si>
  <si>
    <t xml:space="preserve">USER_0062</t>
  </si>
  <si>
    <t xml:space="preserve">USER_0048</t>
  </si>
  <si>
    <t xml:space="preserve">USER_0033</t>
  </si>
  <si>
    <t xml:space="preserve">USER_0268</t>
  </si>
  <si>
    <t xml:space="preserve">USER_0201</t>
  </si>
  <si>
    <t xml:space="preserve">USER_0357</t>
  </si>
  <si>
    <t xml:space="preserve">USER_0028</t>
  </si>
  <si>
    <t xml:space="preserve">USER_0313</t>
  </si>
  <si>
    <t xml:space="preserve">USER_0231</t>
  </si>
  <si>
    <t xml:space="preserve">USER_0261</t>
  </si>
  <si>
    <t xml:space="preserve">USER_0289</t>
  </si>
  <si>
    <t xml:space="preserve">USER_0163</t>
  </si>
  <si>
    <t xml:space="preserve">USER_0371</t>
  </si>
  <si>
    <t xml:space="preserve">USER_0139</t>
  </si>
  <si>
    <t xml:space="preserve">USER_0063</t>
  </si>
  <si>
    <t xml:space="preserve">USER_0136</t>
  </si>
  <si>
    <t xml:space="preserve">USER_0129</t>
  </si>
  <si>
    <t xml:space="preserve">USER_0009</t>
  </si>
  <si>
    <t xml:space="preserve">USER_0065</t>
  </si>
  <si>
    <t xml:space="preserve">USER_0301</t>
  </si>
  <si>
    <t xml:space="preserve">USER_0015</t>
  </si>
  <si>
    <t xml:space="preserve">USER_0157</t>
  </si>
  <si>
    <t xml:space="preserve">USER_0041</t>
  </si>
  <si>
    <t xml:space="preserve">USER_0367</t>
  </si>
  <si>
    <t xml:space="preserve">USER_0324</t>
  </si>
  <si>
    <t xml:space="preserve">USER_0217</t>
  </si>
  <si>
    <t xml:space="preserve">USER_0280</t>
  </si>
  <si>
    <t xml:space="preserve">USER_0347</t>
  </si>
  <si>
    <t xml:space="preserve">USER_0237</t>
  </si>
  <si>
    <t xml:space="preserve">USER_0208</t>
  </si>
  <si>
    <t xml:space="preserve">USER_0213</t>
  </si>
  <si>
    <t xml:space="preserve">USER_0296</t>
  </si>
  <si>
    <t xml:space="preserve">USER_0365</t>
  </si>
  <si>
    <t xml:space="preserve">USER_0252</t>
  </si>
  <si>
    <t xml:space="preserve">USER_0391</t>
  </si>
  <si>
    <t xml:space="preserve">USER_0366</t>
  </si>
  <si>
    <t xml:space="preserve">USER_0304</t>
  </si>
  <si>
    <t xml:space="preserve">USER_0270</t>
  </si>
  <si>
    <t xml:space="preserve">USER_0202</t>
  </si>
  <si>
    <t xml:space="preserve">USER_0162</t>
  </si>
  <si>
    <t xml:space="preserve">USER_0044</t>
  </si>
  <si>
    <t xml:space="preserve">USER_0218</t>
  </si>
  <si>
    <t xml:space="preserve">USER_0191</t>
  </si>
  <si>
    <t xml:space="preserve">USER_0310</t>
  </si>
  <si>
    <t xml:space="preserve">USER_0260</t>
  </si>
  <si>
    <t xml:space="preserve">USER_0106</t>
  </si>
  <si>
    <t xml:space="preserve">USER_0054</t>
  </si>
  <si>
    <t xml:space="preserve">USER_0002</t>
  </si>
  <si>
    <t xml:space="preserve">USER_0050</t>
  </si>
  <si>
    <t xml:space="preserve">USER_0081</t>
  </si>
  <si>
    <t xml:space="preserve">USER_0206</t>
  </si>
  <si>
    <t xml:space="preserve">USER_0035</t>
  </si>
  <si>
    <t xml:space="preserve">USER_0264</t>
  </si>
  <si>
    <t xml:space="preserve">USER_0092</t>
  </si>
  <si>
    <t xml:space="preserve">USER_0340</t>
  </si>
  <si>
    <t xml:space="preserve">USER_0053</t>
  </si>
  <si>
    <t xml:space="preserve">USER_0346</t>
  </si>
  <si>
    <t xml:space="preserve">USER_0265</t>
  </si>
  <si>
    <t xml:space="preserve">USER_0242</t>
  </si>
  <si>
    <t xml:space="preserve">USER_0014</t>
  </si>
  <si>
    <t xml:space="preserve">USER_0316</t>
  </si>
  <si>
    <t xml:space="preserve">USER_0089</t>
  </si>
  <si>
    <t xml:space="preserve">USER_0274</t>
  </si>
  <si>
    <t xml:space="preserve">USER_0167</t>
  </si>
  <si>
    <t xml:space="preserve">USER_0329</t>
  </si>
  <si>
    <t xml:space="preserve">USER_0394</t>
  </si>
  <si>
    <t xml:space="preserve">USER_0135</t>
  </si>
  <si>
    <t xml:space="preserve">USER_0307</t>
  </si>
  <si>
    <t xml:space="preserve">USER_0384</t>
  </si>
  <si>
    <t xml:space="preserve">USER_0320</t>
  </si>
  <si>
    <t xml:space="preserve">USER_0244</t>
  </si>
  <si>
    <t xml:space="preserve">USER_0055</t>
  </si>
  <si>
    <t xml:space="preserve">USER_0051</t>
  </si>
  <si>
    <t xml:space="preserve">USER_0175</t>
  </si>
  <si>
    <t xml:space="preserve">USER_0190</t>
  </si>
  <si>
    <t xml:space="preserve">USER_0398</t>
  </si>
  <si>
    <t xml:space="preserve">USER_0188</t>
  </si>
  <si>
    <t xml:space="preserve">USER_0170</t>
  </si>
  <si>
    <t xml:space="preserve">USER_0059</t>
  </si>
  <si>
    <t xml:space="preserve">USER_0049</t>
  </si>
  <si>
    <t xml:space="preserve">USER_0345</t>
  </si>
  <si>
    <t xml:space="preserve">USER_0236</t>
  </si>
  <si>
    <t xml:space="preserve">USER_0253</t>
  </si>
  <si>
    <t xml:space="preserve">USER_0022</t>
  </si>
  <si>
    <t xml:space="preserve">USER_0314</t>
  </si>
  <si>
    <t xml:space="preserve">USER_0161</t>
  </si>
  <si>
    <t xml:space="preserve">USER_0277</t>
  </si>
  <si>
    <t xml:space="preserve">USER_0192</t>
  </si>
  <si>
    <t xml:space="preserve">USER_0294</t>
  </si>
  <si>
    <t xml:space="preserve">USER_0344</t>
  </si>
  <si>
    <t xml:space="preserve">USER_0258</t>
  </si>
  <si>
    <t xml:space="preserve">USER_0309</t>
  </si>
  <si>
    <t xml:space="preserve">USER_0150</t>
  </si>
  <si>
    <t xml:space="preserve">USER_0131</t>
  </si>
  <si>
    <t xml:space="preserve">USER_0152</t>
  </si>
  <si>
    <t xml:space="preserve">USER_0360</t>
  </si>
  <si>
    <t xml:space="preserve">USER_0100</t>
  </si>
  <si>
    <t xml:space="preserve">USER_0373</t>
  </si>
  <si>
    <t xml:space="preserve">USER_0088</t>
  </si>
  <si>
    <t xml:space="preserve">USER_0331</t>
  </si>
  <si>
    <t xml:space="preserve">USER_0215</t>
  </si>
  <si>
    <t xml:space="preserve">USER_0122</t>
  </si>
  <si>
    <t xml:space="preserve">USER_0400</t>
  </si>
  <si>
    <t xml:space="preserve">USER_0021</t>
  </si>
  <si>
    <t xml:space="preserve">USER_0189</t>
  </si>
  <si>
    <t xml:space="preserve">USER_0072</t>
  </si>
  <si>
    <t xml:space="preserve">USER_0107</t>
  </si>
  <si>
    <t xml:space="preserve">USER_0271</t>
  </si>
  <si>
    <t xml:space="preserve">USER_0349</t>
  </si>
  <si>
    <t xml:space="preserve">USER_0103</t>
  </si>
  <si>
    <t xml:space="preserve">Q3.1 — Hypotheses</t>
  </si>
  <si>
    <t xml:space="preserve">H₀: μ_A = μ_B</t>
  </si>
  <si>
    <t xml:space="preserve">Mean engagement is equal for both groups</t>
  </si>
  <si>
    <t xml:space="preserve">H₁: μ_A ≠ μ_B</t>
  </si>
  <si>
    <t xml:space="preserve">Mean engagement differs between groups</t>
  </si>
  <si>
    <t xml:space="preserve">Two-sample, two-tailed, unequal variances (Welch)</t>
  </si>
  <si>
    <t xml:space="preserve">Conservative default — groups may have different spreads</t>
  </si>
  <si>
    <t xml:space="preserve">Q3.2 — Group Summary Statistics</t>
  </si>
  <si>
    <t xml:space="preserve">Group A Formula</t>
  </si>
  <si>
    <t xml:space="preserve">Group A Result</t>
  </si>
  <si>
    <t xml:space="preserve">Group B Formula</t>
  </si>
  <si>
    <t xml:space="preserve">Group B Result</t>
  </si>
  <si>
    <t xml:space="preserve">Std Dev</t>
  </si>
  <si>
    <t xml:space="preserve">Difference (Mean_B − Mean_A)</t>
  </si>
  <si>
    <t xml:space="preserve">Q3.3 — Toolpak Output: t-Test Two-Sample Assuming Unequal Variances</t>
  </si>
  <si>
    <t xml:space="preserve">Run: Data → Data Analysis → t-Test: Two-Sample Assuming Unequal Variances  |  Variable 1 = Group A scores  |  Variable 2 = Group B scores  |  Hypothesised Mean Difference = 0  |  Alpha = 0.05  |  Output below shows model values.</t>
  </si>
  <si>
    <t xml:space="preserve">Toolpak Output Row</t>
  </si>
  <si>
    <t xml:space="preserve">Group A (Variable 1)</t>
  </si>
  <si>
    <t xml:space="preserve">Group B (Variable 2)</t>
  </si>
  <si>
    <t xml:space="preserve">Variance</t>
  </si>
  <si>
    <t xml:space="preserve">Observations</t>
  </si>
  <si>
    <t xml:space="preserve">Hypothesised Mean Diff</t>
  </si>
  <si>
    <t xml:space="preserve">df</t>
  </si>
  <si>
    <t xml:space="preserve">t Stat</t>
  </si>
  <si>
    <t xml:space="preserve">P(T&lt;=t) one-tail</t>
  </si>
  <si>
    <t xml:space="preserve">t Critical one-tail</t>
  </si>
  <si>
    <t xml:space="preserve">P(T&lt;=t) two-tail</t>
  </si>
  <si>
    <t xml:space="preserve">t Critical two-tail</t>
  </si>
  <si>
    <t xml:space="preserve">p = 0.0011 &lt; α = 0.05  →  REJECT H₀</t>
  </si>
  <si>
    <t xml:space="preserve">Statistical Conclusion (2 sentences)</t>
  </si>
  <si>
    <t xml:space="preserve">1. There is a statistically significant difference in first-week engagement scores between Group A (standard onboarding, mean = 68.52) and Group B (personalised onboarding, mean = 72.54) at α = 0.05, with t(395) = −3.291, p = 0.0011.</t>
  </si>
  <si>
    <t xml:space="preserve">2. Group B achieves a significantly higher mean engagement score than Group A, confirming that personalised onboarding produces meaningfully better first-week user engagement.</t>
  </si>
  <si>
    <t xml:space="preserve">Business Recommendation (3 sentences)</t>
  </si>
  <si>
    <t xml:space="preserve">1. FitLife should implement the personalised quiz-based onboarding (Group B) as the standard experience for all new users, replacing the current standard onboarding process.</t>
  </si>
  <si>
    <t xml:space="preserve">2. The personalised onboarding increases first-week engagement by an average of 4.03 points — from 68.52 to 72.54 — a statistically significant and practically meaningful improvement of approximately 5.9%.</t>
  </si>
  <si>
    <t xml:space="preserve">3. Given that early engagement predicts long-term retention, this change directly addresses the retention shortfall identified in Part 2 and represents the highest-priority, lowest-cost intervention available.</t>
  </si>
  <si>
    <t xml:space="preserve">Part 4 — Multiple Linear Regression: City Revenue Model</t>
  </si>
  <si>
    <t xml:space="preserve">city_id</t>
  </si>
  <si>
    <t xml:space="preserve">monthly_revenue</t>
  </si>
  <si>
    <t xml:space="preserve">active_subscribers</t>
  </si>
  <si>
    <t xml:space="preserve">city_population</t>
  </si>
  <si>
    <t xml:space="preserve">has_influencer</t>
  </si>
  <si>
    <t xml:space="preserve">CITY_001</t>
  </si>
  <si>
    <t xml:space="preserve">CITY_002</t>
  </si>
  <si>
    <t xml:space="preserve">CITY_003</t>
  </si>
  <si>
    <t xml:space="preserve">CITY_004</t>
  </si>
  <si>
    <t xml:space="preserve">CITY_005</t>
  </si>
  <si>
    <t xml:space="preserve">CITY_006</t>
  </si>
  <si>
    <t xml:space="preserve">CITY_007</t>
  </si>
  <si>
    <t xml:space="preserve">CITY_008</t>
  </si>
  <si>
    <t xml:space="preserve">CITY_009</t>
  </si>
  <si>
    <t xml:space="preserve">CITY_010</t>
  </si>
  <si>
    <t xml:space="preserve">CITY_011</t>
  </si>
  <si>
    <t xml:space="preserve">CITY_012</t>
  </si>
  <si>
    <t xml:space="preserve">CITY_013</t>
  </si>
  <si>
    <t xml:space="preserve">CITY_014</t>
  </si>
  <si>
    <t xml:space="preserve">CITY_015</t>
  </si>
  <si>
    <t xml:space="preserve">CITY_016</t>
  </si>
  <si>
    <t xml:space="preserve">CITY_017</t>
  </si>
  <si>
    <t xml:space="preserve">CITY_018</t>
  </si>
  <si>
    <t xml:space="preserve">CITY_019</t>
  </si>
  <si>
    <t xml:space="preserve">CITY_020</t>
  </si>
  <si>
    <t xml:space="preserve">CITY_021</t>
  </si>
  <si>
    <t xml:space="preserve">CITY_022</t>
  </si>
  <si>
    <t xml:space="preserve">CITY_023</t>
  </si>
  <si>
    <t xml:space="preserve">CITY_024</t>
  </si>
  <si>
    <t xml:space="preserve">CITY_025</t>
  </si>
  <si>
    <t xml:space="preserve">CITY_026</t>
  </si>
  <si>
    <t xml:space="preserve">CITY_027</t>
  </si>
  <si>
    <t xml:space="preserve">CITY_028</t>
  </si>
  <si>
    <t xml:space="preserve">CITY_029</t>
  </si>
  <si>
    <t xml:space="preserve">CITY_030</t>
  </si>
  <si>
    <t xml:space="preserve">CITY_031</t>
  </si>
  <si>
    <t xml:space="preserve">CITY_032</t>
  </si>
  <si>
    <t xml:space="preserve">CITY_033</t>
  </si>
  <si>
    <t xml:space="preserve">CITY_034</t>
  </si>
  <si>
    <t xml:space="preserve">CITY_035</t>
  </si>
  <si>
    <t xml:space="preserve">CITY_036</t>
  </si>
  <si>
    <t xml:space="preserve">CITY_037</t>
  </si>
  <si>
    <t xml:space="preserve">CITY_038</t>
  </si>
  <si>
    <t xml:space="preserve">CITY_039</t>
  </si>
  <si>
    <t xml:space="preserve">CITY_040</t>
  </si>
  <si>
    <t xml:space="preserve">CITY_041</t>
  </si>
  <si>
    <t xml:space="preserve">CITY_042</t>
  </si>
  <si>
    <t xml:space="preserve">CITY_043</t>
  </si>
  <si>
    <t xml:space="preserve">CITY_044</t>
  </si>
  <si>
    <t xml:space="preserve">CITY_045</t>
  </si>
  <si>
    <t xml:space="preserve">CITY_046</t>
  </si>
  <si>
    <t xml:space="preserve">CITY_047</t>
  </si>
  <si>
    <t xml:space="preserve">CITY_048</t>
  </si>
  <si>
    <t xml:space="preserve">CITY_049</t>
  </si>
  <si>
    <t xml:space="preserve">CITY_050</t>
  </si>
  <si>
    <t xml:space="preserve">CITY_051</t>
  </si>
  <si>
    <t xml:space="preserve">CITY_052</t>
  </si>
  <si>
    <t xml:space="preserve">CITY_053</t>
  </si>
  <si>
    <t xml:space="preserve">CITY_054</t>
  </si>
  <si>
    <t xml:space="preserve">CITY_055</t>
  </si>
  <si>
    <t xml:space="preserve">CITY_056</t>
  </si>
  <si>
    <t xml:space="preserve">CITY_057</t>
  </si>
  <si>
    <t xml:space="preserve">CITY_058</t>
  </si>
  <si>
    <t xml:space="preserve">CITY_059</t>
  </si>
  <si>
    <t xml:space="preserve">CITY_060</t>
  </si>
  <si>
    <t xml:space="preserve">Q4.1 — Regression Setup</t>
  </si>
  <si>
    <t xml:space="preserve">Run: Data → Data Analysis → Regression  |  Y Range: B2:B62 (monthly_revenue)  |  X Range: C2:F62 (active_subscribers, avg_session_duration, city_population, has_influencer)  |  Tick Labels  |  Confidence Level = 95%  |  Output range: below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</si>
  <si>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</si>
  <si>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</si>
  <si>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</si>
  <si>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</si>
  <si>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</si>
  <si>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ANOVA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</si>
  <si>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</si>
  <si>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</si>
  <si>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</si>
  <si>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</si>
  <si>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</si>
  <si>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2.45E-35</t>
  </si>
  <si>
    <t xml:space="preserve">Residual</t>
  </si>
  <si>
    <t xml:space="preserve">Total</t>
  </si>
  <si>
    <t xml:space="preserve">COEFFICIENTS</t>
  </si>
  <si>
    <t xml:space="preserve">Variable</t>
  </si>
  <si>
    <t xml:space="preserve">Coefficient</t>
  </si>
  <si>
    <t xml:space="preserve">Std Error</t>
  </si>
  <si>
    <t xml:space="preserve">P-value</t>
  </si>
  <si>
    <t xml:space="preserve">Lower 95%</t>
  </si>
  <si>
    <t xml:space="preserve">Upper 95%</t>
  </si>
  <si>
    <t xml:space="preserve">Significant?</t>
  </si>
  <si>
    <t xml:space="preserve">Intercept</t>
  </si>
  <si>
    <t xml:space="preserve">✓  SIGNIFICANT</t>
  </si>
  <si>
    <t xml:space="preserve">✗  Not significant (p &gt; 0.05)</t>
  </si>
  <si>
    <t xml:space="preserve">Regression Equation</t>
  </si>
  <si>
    <t xml:space="preserve">monthly_revenue = 44.9809 + 0.0643 × active_subscribers + 1.7023 × avg_session_duration + 24.6885 × city_population + 26.1460 × has_influencer</t>
  </si>
  <si>
    <t xml:space="preserve">Q4.2 — Interpretation &amp; Business Insights</t>
  </si>
  <si>
    <t xml:space="preserve">R-squared Interpretation (2 sentences)</t>
  </si>
  <si>
    <t xml:space="preserve">1. The R-squared value of 0.9413 indicates that approximately 94.13% of the total variation in monthly revenue across FitLife's cities is explained by the four predictor variables in the model.</t>
  </si>
  <si>
    <t xml:space="preserve">2. The Adjusted R-squared of 0.9370 confirms the model retains outstanding explanatory power even after accounting for having four predictors, with only ~6.3% of revenue variation remaining unexplained.</t>
  </si>
  <si>
    <t xml:space="preserve">Coefficient Interpretation — active_subscribers (3 sentences)</t>
  </si>
  <si>
    <t xml:space="preserve">1. The coefficient for active_subscribers is 0.0643 (in thousands of dollars per one additional subscriber).</t>
  </si>
  <si>
    <t xml:space="preserve">2. Holding all other variables constant, each additional active subscriber is associated with an increase of 0.0643 thousand dollars in monthly revenue.</t>
  </si>
  <si>
    <t xml:space="preserve">3. In dollar terms, each additional subscriber contributes approximately $64.30 per month — meaning acquiring 1,000 more active subscribers is expected to add roughly $64,300 to monthly revenue.</t>
  </si>
  <si>
    <t xml:space="preserve">Coefficient Interpretation — has_influencer (3 sentences)</t>
  </si>
  <si>
    <t xml:space="preserve">1. The coefficient for has_influencer is 26.1460 (in thousands of dollars), representing the revenue premium associated with an influencer partnership.</t>
  </si>
  <si>
    <t xml:space="preserve">2. Holding all other variables constant, cities with an influencer partnership generate on average 26.1460 thousand dollars more in monthly revenue than cities without one.</t>
  </si>
  <si>
    <t xml:space="preserve">3. In dollar terms, an influencer partnership is associated with approximately $26,146 in additional monthly revenue — highly significant (p &lt; 0.0001) and a return that very likely exceeds typical partnership costs.</t>
  </si>
  <si>
    <t xml:space="preserve">Business Insight (2 sentences)</t>
  </si>
  <si>
    <t xml:space="preserve">1. active_subscribers has the most actionable and statistically significant positive impact on revenue (p ≈ 0), followed by has_influencer (p ≈ 0) and avg_session_duration (p = 0.0015); city_population is not a reliable predictor (p = 0.086), meaning raw market size alone does not drive FitLife's revenue performance.</t>
  </si>
  <si>
    <t xml:space="preserve">2. FitLife's priority strategy for new cities should combine aggressive subscriber acquisition — each subscriber adds ~$64/month — with securing influencer partnerships from day one, as these two levers are both highly significant and directly within the company's control.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</si>
</sst>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\$#,##0.00"/>
    <numFmt numFmtId="167" formatCode="General"/>
    <numFmt numFmtId="168" formatCode="0.0000"/>
    <numFmt numFmtId="169" formatCode="0.000000"/>
    <numFmt numFmtId="170" formatCode="0.00%"/>
    <numFmt numFmtId="171" formatCode="0"/>
    <numFmt numFmtId="172" formatCode="\+0.0000;\-0.0000"/>
    <numFmt numFmtId="173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45"/>
    <col collapsed="false" customWidth="true" hidden="false" outlineLevel="0" max="6" min="6" style="1" width="18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true" outlineLevel="0" collapsed="false">
      <c r="A3" s="4" t="n">
        <v>1</v>
      </c>
      <c r="B3" s="4" t="s">
        <v>6</v>
      </c>
      <c r="C3" s="5" t="n">
        <v>36.4</v>
      </c>
      <c r="D3" s="4" t="n">
        <v>3200</v>
      </c>
      <c r="E3" s="6" t="n">
        <v>24494.89</v>
      </c>
    </row>
    <row r="4" customFormat="false" ht="15" hidden="false" customHeight="true" outlineLevel="0" collapsed="false">
      <c r="A4" s="7" t="n">
        <v>2</v>
      </c>
      <c r="B4" s="7" t="s">
        <v>7</v>
      </c>
      <c r="C4" s="8" t="n">
        <v>32.1</v>
      </c>
      <c r="D4" s="7" t="n">
        <v>2644</v>
      </c>
      <c r="E4" s="9" t="n">
        <v>20261.86</v>
      </c>
    </row>
    <row r="5" customFormat="false" ht="15" hidden="false" customHeight="true" outlineLevel="0" collapsed="false">
      <c r="A5" s="4" t="n">
        <v>3</v>
      </c>
      <c r="B5" s="4" t="s">
        <v>8</v>
      </c>
      <c r="C5" s="5" t="n">
        <v>37.4</v>
      </c>
      <c r="D5" s="4" t="n">
        <v>3200</v>
      </c>
      <c r="E5" s="6" t="n">
        <v>25000</v>
      </c>
    </row>
    <row r="6" customFormat="false" ht="15" hidden="false" customHeight="true" outlineLevel="0" collapsed="false">
      <c r="A6" s="7" t="n">
        <v>4</v>
      </c>
      <c r="B6" s="7" t="s">
        <v>9</v>
      </c>
      <c r="C6" s="8" t="n">
        <v>43.3</v>
      </c>
      <c r="D6" s="7" t="n">
        <v>3101</v>
      </c>
      <c r="E6" s="9" t="n">
        <v>23202.49</v>
      </c>
    </row>
    <row r="7" customFormat="false" ht="15" hidden="false" customHeight="true" outlineLevel="0" collapsed="false">
      <c r="A7" s="4" t="n">
        <v>5</v>
      </c>
      <c r="B7" s="4" t="s">
        <v>10</v>
      </c>
      <c r="C7" s="5" t="n">
        <v>31.4</v>
      </c>
      <c r="D7" s="4" t="n">
        <v>2725</v>
      </c>
      <c r="E7" s="6" t="n">
        <v>20342.55</v>
      </c>
    </row>
    <row r="8" customFormat="false" ht="15" hidden="false" customHeight="true" outlineLevel="0" collapsed="false">
      <c r="A8" s="7" t="n">
        <v>6</v>
      </c>
      <c r="B8" s="7" t="s">
        <v>11</v>
      </c>
      <c r="C8" s="8" t="n">
        <v>31.4</v>
      </c>
      <c r="D8" s="7" t="n">
        <v>3014</v>
      </c>
      <c r="E8" s="9" t="n">
        <v>23224.69</v>
      </c>
    </row>
    <row r="9" customFormat="false" ht="15" hidden="false" customHeight="true" outlineLevel="0" collapsed="false">
      <c r="A9" s="4" t="n">
        <v>7</v>
      </c>
      <c r="B9" s="4" t="s">
        <v>12</v>
      </c>
      <c r="C9" s="5" t="n">
        <v>43.7</v>
      </c>
      <c r="D9" s="4" t="n">
        <v>3145</v>
      </c>
      <c r="E9" s="6" t="n">
        <v>22798.71</v>
      </c>
    </row>
    <row r="10" customFormat="false" ht="15" hidden="false" customHeight="true" outlineLevel="0" collapsed="false">
      <c r="A10" s="7" t="n">
        <v>8</v>
      </c>
      <c r="B10" s="7" t="s">
        <v>13</v>
      </c>
      <c r="C10" s="8" t="n">
        <v>38.2</v>
      </c>
      <c r="D10" s="7" t="n">
        <v>2903</v>
      </c>
      <c r="E10" s="9" t="n">
        <v>23925.65</v>
      </c>
    </row>
    <row r="11" customFormat="false" ht="15" hidden="false" customHeight="true" outlineLevel="0" collapsed="false">
      <c r="A11" s="4" t="n">
        <v>9</v>
      </c>
      <c r="B11" s="4" t="s">
        <v>14</v>
      </c>
      <c r="C11" s="5" t="n">
        <v>29.8</v>
      </c>
      <c r="D11" s="4" t="n">
        <v>2911</v>
      </c>
      <c r="E11" s="6" t="n">
        <v>23148.81</v>
      </c>
    </row>
    <row r="12" customFormat="false" ht="15" hidden="false" customHeight="true" outlineLevel="0" collapsed="false">
      <c r="A12" s="7" t="n">
        <v>10</v>
      </c>
      <c r="B12" s="7" t="s">
        <v>15</v>
      </c>
      <c r="C12" s="8" t="n">
        <v>36.7</v>
      </c>
      <c r="D12" s="7" t="n">
        <v>2923</v>
      </c>
      <c r="E12" s="9" t="n">
        <v>23000.54</v>
      </c>
    </row>
    <row r="13" customFormat="false" ht="15" hidden="false" customHeight="true" outlineLevel="0" collapsed="false">
      <c r="A13" s="4" t="n">
        <v>11</v>
      </c>
      <c r="B13" s="4" t="s">
        <v>16</v>
      </c>
      <c r="C13" s="5" t="n">
        <v>29.9</v>
      </c>
      <c r="D13" s="4" t="n">
        <v>2921</v>
      </c>
      <c r="E13" s="6" t="n">
        <v>21126.28</v>
      </c>
    </row>
    <row r="14" customFormat="false" ht="15" hidden="false" customHeight="true" outlineLevel="0" collapsed="false">
      <c r="A14" s="7" t="n">
        <v>12</v>
      </c>
      <c r="B14" s="7" t="s">
        <v>17</v>
      </c>
      <c r="C14" s="8" t="n">
        <v>29.9</v>
      </c>
      <c r="D14" s="7" t="n">
        <v>3030</v>
      </c>
      <c r="E14" s="9" t="n">
        <v>23910.81</v>
      </c>
    </row>
    <row r="15" customFormat="false" ht="15" hidden="false" customHeight="true" outlineLevel="0" collapsed="false">
      <c r="A15" s="4" t="n">
        <v>13</v>
      </c>
      <c r="B15" s="4" t="s">
        <v>18</v>
      </c>
      <c r="C15" s="5" t="n">
        <v>34.6</v>
      </c>
      <c r="D15" s="4" t="n">
        <v>3200</v>
      </c>
      <c r="E15" s="6" t="n">
        <v>25000</v>
      </c>
    </row>
    <row r="16" customFormat="false" ht="15" hidden="false" customHeight="true" outlineLevel="0" collapsed="false">
      <c r="A16" s="7" t="n">
        <v>14</v>
      </c>
      <c r="B16" s="7" t="s">
        <v>19</v>
      </c>
      <c r="C16" s="8" t="n">
        <v>20.1</v>
      </c>
      <c r="D16" s="7" t="n">
        <v>2504</v>
      </c>
      <c r="E16" s="9" t="n">
        <v>17196.7</v>
      </c>
    </row>
    <row r="17" customFormat="false" ht="15" hidden="false" customHeight="true" outlineLevel="0" collapsed="false">
      <c r="A17" s="4" t="n">
        <v>15</v>
      </c>
      <c r="B17" s="4" t="s">
        <v>20</v>
      </c>
      <c r="C17" s="5" t="n">
        <v>21.4</v>
      </c>
      <c r="D17" s="4" t="n">
        <v>3197</v>
      </c>
      <c r="E17" s="6" t="n">
        <v>22228.02</v>
      </c>
    </row>
    <row r="18" customFormat="false" ht="15" hidden="false" customHeight="true" outlineLevel="0" collapsed="false">
      <c r="A18" s="7" t="n">
        <v>16</v>
      </c>
      <c r="B18" s="7" t="s">
        <v>21</v>
      </c>
      <c r="C18" s="8" t="n">
        <v>29.2</v>
      </c>
      <c r="D18" s="7" t="n">
        <v>2498</v>
      </c>
      <c r="E18" s="9" t="n">
        <v>19213.56</v>
      </c>
    </row>
    <row r="19" customFormat="false" ht="15" hidden="false" customHeight="true" outlineLevel="0" collapsed="false">
      <c r="A19" s="4" t="n">
        <v>17</v>
      </c>
      <c r="B19" s="4" t="s">
        <v>22</v>
      </c>
      <c r="C19" s="5" t="n">
        <v>26.2</v>
      </c>
      <c r="D19" s="4" t="n">
        <v>2812</v>
      </c>
      <c r="E19" s="6" t="n">
        <v>21262.2</v>
      </c>
    </row>
    <row r="20" customFormat="false" ht="15" hidden="false" customHeight="true" outlineLevel="0" collapsed="false">
      <c r="A20" s="7" t="n">
        <v>18</v>
      </c>
      <c r="B20" s="7" t="s">
        <v>23</v>
      </c>
      <c r="C20" s="8" t="n">
        <v>35.1</v>
      </c>
      <c r="D20" s="7" t="n">
        <v>3094</v>
      </c>
      <c r="E20" s="9" t="n">
        <v>24572.95</v>
      </c>
    </row>
    <row r="21" customFormat="false" ht="15" hidden="false" customHeight="true" outlineLevel="0" collapsed="false">
      <c r="A21" s="4" t="n">
        <v>19</v>
      </c>
      <c r="B21" s="4" t="s">
        <v>24</v>
      </c>
      <c r="C21" s="5" t="n">
        <v>26.9</v>
      </c>
      <c r="D21" s="4" t="n">
        <v>2909</v>
      </c>
      <c r="E21" s="6" t="n">
        <v>20858.45</v>
      </c>
    </row>
    <row r="22" customFormat="false" ht="15" hidden="false" customHeight="true" outlineLevel="0" collapsed="false">
      <c r="A22" s="7" t="n">
        <v>20</v>
      </c>
      <c r="B22" s="7" t="s">
        <v>25</v>
      </c>
      <c r="C22" s="8" t="n">
        <v>23.5</v>
      </c>
      <c r="D22" s="7" t="n">
        <v>2677</v>
      </c>
      <c r="E22" s="9" t="n">
        <v>20200.26</v>
      </c>
    </row>
    <row r="23" customFormat="false" ht="15" hidden="false" customHeight="true" outlineLevel="0" collapsed="false">
      <c r="A23" s="4" t="n">
        <v>21</v>
      </c>
      <c r="B23" s="4" t="s">
        <v>26</v>
      </c>
      <c r="C23" s="5" t="n">
        <v>42.9</v>
      </c>
      <c r="D23" s="4" t="n">
        <v>3052</v>
      </c>
      <c r="E23" s="6" t="n">
        <v>22169.47</v>
      </c>
    </row>
    <row r="24" customFormat="false" ht="15" hidden="false" customHeight="true" outlineLevel="0" collapsed="false">
      <c r="A24" s="7" t="n">
        <v>22</v>
      </c>
      <c r="B24" s="7" t="s">
        <v>27</v>
      </c>
      <c r="C24" s="8" t="n">
        <v>31.5</v>
      </c>
      <c r="D24" s="7" t="n">
        <v>2824</v>
      </c>
      <c r="E24" s="9" t="n">
        <v>20535.46</v>
      </c>
    </row>
    <row r="25" customFormat="false" ht="15" hidden="false" customHeight="true" outlineLevel="0" collapsed="false">
      <c r="A25" s="4" t="n">
        <v>23</v>
      </c>
      <c r="B25" s="4" t="s">
        <v>28</v>
      </c>
      <c r="C25" s="5" t="n">
        <v>33.5</v>
      </c>
      <c r="D25" s="4" t="n">
        <v>2834</v>
      </c>
      <c r="E25" s="6" t="n">
        <v>20583.42</v>
      </c>
    </row>
    <row r="26" customFormat="false" ht="15" hidden="false" customHeight="true" outlineLevel="0" collapsed="false">
      <c r="A26" s="7" t="n">
        <v>24</v>
      </c>
      <c r="B26" s="7" t="s">
        <v>29</v>
      </c>
      <c r="C26" s="8" t="n">
        <v>23.4</v>
      </c>
      <c r="D26" s="7" t="n">
        <v>2971</v>
      </c>
      <c r="E26" s="9" t="n">
        <v>23757.49</v>
      </c>
    </row>
    <row r="27" customFormat="false" ht="15" hidden="false" customHeight="true" outlineLevel="0" collapsed="false">
      <c r="A27" s="4" t="n">
        <v>25</v>
      </c>
      <c r="B27" s="4" t="s">
        <v>30</v>
      </c>
      <c r="C27" s="5" t="n">
        <v>29.3</v>
      </c>
      <c r="D27" s="4" t="n">
        <v>2961</v>
      </c>
      <c r="E27" s="6" t="n">
        <v>23113.61</v>
      </c>
    </row>
    <row r="28" customFormat="false" ht="15" hidden="false" customHeight="true" outlineLevel="0" collapsed="false">
      <c r="A28" s="7" t="n">
        <v>26</v>
      </c>
      <c r="B28" s="7" t="s">
        <v>31</v>
      </c>
      <c r="C28" s="8" t="n">
        <v>33.7</v>
      </c>
      <c r="D28" s="7" t="n">
        <v>2818</v>
      </c>
      <c r="E28" s="9" t="n">
        <v>21429.59</v>
      </c>
    </row>
    <row r="29" customFormat="false" ht="15" hidden="false" customHeight="true" outlineLevel="0" collapsed="false">
      <c r="A29" s="4" t="n">
        <v>27</v>
      </c>
      <c r="B29" s="4" t="s">
        <v>32</v>
      </c>
      <c r="C29" s="5" t="n">
        <v>25.2</v>
      </c>
      <c r="D29" s="4" t="n">
        <v>3008</v>
      </c>
      <c r="E29" s="6" t="n">
        <v>22100.28</v>
      </c>
    </row>
    <row r="30" customFormat="false" ht="15" hidden="false" customHeight="true" outlineLevel="0" collapsed="false">
      <c r="A30" s="7" t="n">
        <v>28</v>
      </c>
      <c r="B30" s="7" t="s">
        <v>33</v>
      </c>
      <c r="C30" s="8" t="n">
        <v>35.5</v>
      </c>
      <c r="D30" s="7" t="n">
        <v>3044</v>
      </c>
      <c r="E30" s="9" t="n">
        <v>23147.72</v>
      </c>
    </row>
    <row r="31" customFormat="false" ht="15" hidden="false" customHeight="true" outlineLevel="0" collapsed="false">
      <c r="A31" s="4" t="n">
        <v>29</v>
      </c>
      <c r="B31" s="4" t="s">
        <v>34</v>
      </c>
      <c r="C31" s="5" t="n">
        <v>28.9</v>
      </c>
      <c r="D31" s="4" t="n">
        <v>3047</v>
      </c>
      <c r="E31" s="6" t="n">
        <v>22739.59</v>
      </c>
    </row>
    <row r="32" customFormat="false" ht="15" hidden="false" customHeight="true" outlineLevel="0" collapsed="false">
      <c r="A32" s="7" t="n">
        <v>30</v>
      </c>
      <c r="B32" s="7" t="s">
        <v>35</v>
      </c>
      <c r="C32" s="8" t="n">
        <v>31</v>
      </c>
      <c r="D32" s="7" t="n">
        <v>3041</v>
      </c>
      <c r="E32" s="9" t="n">
        <v>23874.12</v>
      </c>
    </row>
    <row r="33" customFormat="false" ht="15" hidden="false" customHeight="true" outlineLevel="0" collapsed="false">
      <c r="A33" s="4" t="n">
        <v>31</v>
      </c>
      <c r="B33" s="4" t="s">
        <v>36</v>
      </c>
      <c r="C33" s="5" t="n">
        <v>28.9</v>
      </c>
      <c r="D33" s="4" t="n">
        <v>2718</v>
      </c>
      <c r="E33" s="6" t="n">
        <v>20355.36</v>
      </c>
    </row>
    <row r="34" customFormat="false" ht="15" hidden="false" customHeight="true" outlineLevel="0" collapsed="false">
      <c r="A34" s="7" t="n">
        <v>32</v>
      </c>
      <c r="B34" s="7" t="s">
        <v>37</v>
      </c>
      <c r="C34" s="8" t="n">
        <v>45.5</v>
      </c>
      <c r="D34" s="7" t="n">
        <v>3021</v>
      </c>
      <c r="E34" s="9" t="n">
        <v>21647.37</v>
      </c>
    </row>
    <row r="35" customFormat="false" ht="15" hidden="false" customHeight="true" outlineLevel="0" collapsed="false">
      <c r="A35" s="4" t="n">
        <v>33</v>
      </c>
      <c r="B35" s="4" t="s">
        <v>38</v>
      </c>
      <c r="C35" s="5" t="n">
        <v>32.9</v>
      </c>
      <c r="D35" s="4" t="n">
        <v>3093</v>
      </c>
      <c r="E35" s="6" t="n">
        <v>22541.54</v>
      </c>
    </row>
    <row r="36" customFormat="false" ht="15" hidden="false" customHeight="true" outlineLevel="0" collapsed="false">
      <c r="A36" s="7" t="n">
        <v>34</v>
      </c>
      <c r="B36" s="7" t="s">
        <v>39</v>
      </c>
      <c r="C36" s="8" t="n">
        <v>25.9</v>
      </c>
      <c r="D36" s="7" t="n">
        <v>2960</v>
      </c>
      <c r="E36" s="9" t="n">
        <v>22138.65</v>
      </c>
    </row>
    <row r="37" customFormat="false" ht="15" hidden="false" customHeight="true" outlineLevel="0" collapsed="false">
      <c r="A37" s="4" t="n">
        <v>35</v>
      </c>
      <c r="B37" s="4" t="s">
        <v>40</v>
      </c>
      <c r="C37" s="5" t="n">
        <v>38.6</v>
      </c>
      <c r="D37" s="4" t="n">
        <v>3024</v>
      </c>
      <c r="E37" s="6" t="n">
        <v>23408.99</v>
      </c>
    </row>
    <row r="38" customFormat="false" ht="15" hidden="false" customHeight="true" outlineLevel="0" collapsed="false">
      <c r="A38" s="7" t="n">
        <v>36</v>
      </c>
      <c r="B38" s="7" t="s">
        <v>41</v>
      </c>
      <c r="C38" s="8" t="n">
        <v>24.8</v>
      </c>
      <c r="D38" s="7" t="n">
        <v>2845</v>
      </c>
      <c r="E38" s="9" t="n">
        <v>21685.99</v>
      </c>
    </row>
    <row r="39" customFormat="false" ht="15" hidden="false" customHeight="true" outlineLevel="0" collapsed="false">
      <c r="A39" s="4" t="n">
        <v>37</v>
      </c>
      <c r="B39" s="4" t="s">
        <v>42</v>
      </c>
      <c r="C39" s="5" t="n">
        <v>34.4</v>
      </c>
      <c r="D39" s="4" t="n">
        <v>3200</v>
      </c>
      <c r="E39" s="6" t="n">
        <v>23157.24</v>
      </c>
    </row>
    <row r="40" customFormat="false" ht="15" hidden="false" customHeight="true" outlineLevel="0" collapsed="false">
      <c r="A40" s="7" t="n">
        <v>38</v>
      </c>
      <c r="B40" s="7" t="s">
        <v>43</v>
      </c>
      <c r="C40" s="8" t="n">
        <v>20</v>
      </c>
      <c r="D40" s="7" t="n">
        <v>2632</v>
      </c>
      <c r="E40" s="9" t="n">
        <v>20806.56</v>
      </c>
    </row>
    <row r="41" customFormat="false" ht="15" hidden="false" customHeight="true" outlineLevel="0" collapsed="false">
      <c r="A41" s="4" t="n">
        <v>39</v>
      </c>
      <c r="B41" s="4" t="s">
        <v>44</v>
      </c>
      <c r="C41" s="5" t="n">
        <v>24</v>
      </c>
      <c r="D41" s="4" t="n">
        <v>2920</v>
      </c>
      <c r="E41" s="6" t="n">
        <v>22030.1</v>
      </c>
    </row>
    <row r="42" customFormat="false" ht="15" hidden="false" customHeight="true" outlineLevel="0" collapsed="false">
      <c r="A42" s="7" t="n">
        <v>40</v>
      </c>
      <c r="B42" s="7" t="s">
        <v>45</v>
      </c>
      <c r="C42" s="8" t="n">
        <v>34.3</v>
      </c>
      <c r="D42" s="7" t="n">
        <v>2924</v>
      </c>
      <c r="E42" s="9" t="n">
        <v>21799.33</v>
      </c>
    </row>
    <row r="43" customFormat="false" ht="15" hidden="false" customHeight="true" outlineLevel="0" collapsed="false">
      <c r="A43" s="4" t="n">
        <v>41</v>
      </c>
      <c r="B43" s="4" t="s">
        <v>46</v>
      </c>
      <c r="C43" s="5" t="n">
        <v>38</v>
      </c>
      <c r="D43" s="4" t="n">
        <v>2976</v>
      </c>
      <c r="E43" s="6" t="n">
        <v>23577.72</v>
      </c>
    </row>
    <row r="44" customFormat="false" ht="15" hidden="false" customHeight="true" outlineLevel="0" collapsed="false">
      <c r="A44" s="7" t="n">
        <v>42</v>
      </c>
      <c r="B44" s="7" t="s">
        <v>47</v>
      </c>
      <c r="C44" s="8" t="n">
        <v>34.2</v>
      </c>
      <c r="D44" s="7" t="n">
        <v>3182</v>
      </c>
      <c r="E44" s="9" t="n">
        <v>24029.19</v>
      </c>
    </row>
    <row r="45" customFormat="false" ht="15" hidden="false" customHeight="true" outlineLevel="0" collapsed="false">
      <c r="A45" s="4" t="n">
        <v>43</v>
      </c>
      <c r="B45" s="4" t="s">
        <v>48</v>
      </c>
      <c r="C45" s="5" t="n">
        <v>32.2</v>
      </c>
      <c r="D45" s="4" t="n">
        <v>3098</v>
      </c>
      <c r="E45" s="6" t="n">
        <v>21830.9</v>
      </c>
    </row>
    <row r="46" customFormat="false" ht="15" hidden="false" customHeight="true" outlineLevel="0" collapsed="false">
      <c r="A46" s="7" t="n">
        <v>44</v>
      </c>
      <c r="B46" s="7" t="s">
        <v>49</v>
      </c>
      <c r="C46" s="8" t="n">
        <v>31</v>
      </c>
      <c r="D46" s="7" t="n">
        <v>3077</v>
      </c>
      <c r="E46" s="9" t="n">
        <v>24276.28</v>
      </c>
    </row>
    <row r="47" customFormat="false" ht="15" hidden="false" customHeight="true" outlineLevel="0" collapsed="false">
      <c r="A47" s="4" t="n">
        <v>45</v>
      </c>
      <c r="B47" s="4" t="s">
        <v>50</v>
      </c>
      <c r="C47" s="5" t="n">
        <v>23</v>
      </c>
      <c r="D47" s="4" t="n">
        <v>3056</v>
      </c>
      <c r="E47" s="6" t="n">
        <v>23421.34</v>
      </c>
    </row>
    <row r="48" customFormat="false" ht="15" hidden="false" customHeight="true" outlineLevel="0" collapsed="false">
      <c r="A48" s="7" t="n">
        <v>46</v>
      </c>
      <c r="B48" s="7" t="s">
        <v>51</v>
      </c>
      <c r="C48" s="8" t="n">
        <v>28.1</v>
      </c>
      <c r="D48" s="7" t="n">
        <v>2876</v>
      </c>
      <c r="E48" s="9" t="n">
        <v>20855.81</v>
      </c>
    </row>
    <row r="49" customFormat="false" ht="15" hidden="false" customHeight="true" outlineLevel="0" collapsed="false">
      <c r="A49" s="4" t="n">
        <v>47</v>
      </c>
      <c r="B49" s="4" t="s">
        <v>52</v>
      </c>
      <c r="C49" s="5" t="n">
        <v>29.9</v>
      </c>
      <c r="D49" s="4" t="n">
        <v>3035</v>
      </c>
      <c r="E49" s="6" t="n">
        <v>22295.57</v>
      </c>
    </row>
    <row r="50" customFormat="false" ht="15" hidden="false" customHeight="true" outlineLevel="0" collapsed="false">
      <c r="A50" s="7" t="n">
        <v>48</v>
      </c>
      <c r="B50" s="7" t="s">
        <v>53</v>
      </c>
      <c r="C50" s="8" t="n">
        <v>40.1</v>
      </c>
      <c r="D50" s="7" t="n">
        <v>2990</v>
      </c>
      <c r="E50" s="9" t="n">
        <v>22856.83</v>
      </c>
    </row>
    <row r="51" customFormat="false" ht="15" hidden="false" customHeight="true" outlineLevel="0" collapsed="false">
      <c r="A51" s="4" t="n">
        <v>49</v>
      </c>
      <c r="B51" s="4" t="s">
        <v>54</v>
      </c>
      <c r="C51" s="5" t="n">
        <v>35.3</v>
      </c>
      <c r="D51" s="4" t="n">
        <v>3045</v>
      </c>
      <c r="E51" s="6" t="n">
        <v>23109.69</v>
      </c>
    </row>
    <row r="52" customFormat="false" ht="15" hidden="false" customHeight="true" outlineLevel="0" collapsed="false">
      <c r="A52" s="7" t="n">
        <v>50</v>
      </c>
      <c r="B52" s="7" t="s">
        <v>55</v>
      </c>
      <c r="C52" s="8" t="n">
        <v>21.1</v>
      </c>
      <c r="D52" s="7" t="n">
        <v>2740</v>
      </c>
      <c r="E52" s="9" t="n">
        <v>20421.82</v>
      </c>
    </row>
    <row r="53" customFormat="false" ht="15" hidden="false" customHeight="true" outlineLevel="0" collapsed="false">
      <c r="A53" s="4" t="n">
        <v>51</v>
      </c>
      <c r="B53" s="4" t="s">
        <v>56</v>
      </c>
      <c r="C53" s="5" t="n">
        <v>35.2</v>
      </c>
      <c r="D53" s="4" t="n">
        <v>2997</v>
      </c>
      <c r="E53" s="6" t="n">
        <v>24381.49</v>
      </c>
    </row>
    <row r="54" customFormat="false" ht="15" hidden="false" customHeight="true" outlineLevel="0" collapsed="false">
      <c r="A54" s="7" t="n">
        <v>52</v>
      </c>
      <c r="B54" s="7" t="s">
        <v>57</v>
      </c>
      <c r="C54" s="8" t="n">
        <v>30.4</v>
      </c>
      <c r="D54" s="7" t="n">
        <v>3025</v>
      </c>
      <c r="E54" s="9" t="n">
        <v>23658.78</v>
      </c>
    </row>
    <row r="55" customFormat="false" ht="15" hidden="false" customHeight="true" outlineLevel="0" collapsed="false">
      <c r="A55" s="4" t="n">
        <v>53</v>
      </c>
      <c r="B55" s="4" t="s">
        <v>58</v>
      </c>
      <c r="C55" s="5" t="n">
        <v>28.4</v>
      </c>
      <c r="D55" s="4" t="n">
        <v>2713</v>
      </c>
      <c r="E55" s="6" t="n">
        <v>19918.42</v>
      </c>
    </row>
    <row r="56" customFormat="false" ht="15" hidden="false" customHeight="true" outlineLevel="0" collapsed="false">
      <c r="A56" s="7" t="n">
        <v>54</v>
      </c>
      <c r="B56" s="7" t="s">
        <v>59</v>
      </c>
      <c r="C56" s="8" t="n">
        <v>37.1</v>
      </c>
      <c r="D56" s="7" t="n">
        <v>3200</v>
      </c>
      <c r="E56" s="9" t="n">
        <v>22654.73</v>
      </c>
    </row>
    <row r="57" customFormat="false" ht="15" hidden="false" customHeight="true" outlineLevel="0" collapsed="false">
      <c r="A57" s="4" t="n">
        <v>55</v>
      </c>
      <c r="B57" s="4" t="s">
        <v>60</v>
      </c>
      <c r="C57" s="5" t="n">
        <v>40</v>
      </c>
      <c r="D57" s="4" t="n">
        <v>2848</v>
      </c>
      <c r="E57" s="6" t="n">
        <v>20777.22</v>
      </c>
    </row>
    <row r="58" customFormat="false" ht="15" hidden="false" customHeight="true" outlineLevel="0" collapsed="false">
      <c r="A58" s="7" t="n">
        <v>56</v>
      </c>
      <c r="B58" s="7" t="s">
        <v>61</v>
      </c>
      <c r="C58" s="8" t="n">
        <v>39.3</v>
      </c>
      <c r="D58" s="7" t="n">
        <v>2796</v>
      </c>
      <c r="E58" s="9" t="n">
        <v>22096.89</v>
      </c>
    </row>
    <row r="59" customFormat="false" ht="15" hidden="false" customHeight="true" outlineLevel="0" collapsed="false">
      <c r="A59" s="4" t="n">
        <v>57</v>
      </c>
      <c r="B59" s="4" t="s">
        <v>62</v>
      </c>
      <c r="C59" s="5" t="n">
        <v>27.3</v>
      </c>
      <c r="D59" s="4" t="n">
        <v>3092</v>
      </c>
      <c r="E59" s="6" t="n">
        <v>21788.82</v>
      </c>
    </row>
    <row r="60" customFormat="false" ht="15" hidden="false" customHeight="true" outlineLevel="0" collapsed="false">
      <c r="A60" s="7" t="n">
        <v>58</v>
      </c>
      <c r="B60" s="7" t="s">
        <v>63</v>
      </c>
      <c r="C60" s="8" t="n">
        <v>30.9</v>
      </c>
      <c r="D60" s="7" t="n">
        <v>3072</v>
      </c>
      <c r="E60" s="9" t="n">
        <v>23787.44</v>
      </c>
    </row>
    <row r="61" customFormat="false" ht="15" hidden="false" customHeight="true" outlineLevel="0" collapsed="false">
      <c r="A61" s="4" t="n">
        <v>59</v>
      </c>
      <c r="B61" s="4" t="s">
        <v>64</v>
      </c>
      <c r="C61" s="5" t="n">
        <v>35.2</v>
      </c>
      <c r="D61" s="4" t="n">
        <v>3103</v>
      </c>
      <c r="E61" s="6" t="n">
        <v>23828.27</v>
      </c>
    </row>
    <row r="62" customFormat="false" ht="15" hidden="false" customHeight="true" outlineLevel="0" collapsed="false">
      <c r="A62" s="7" t="n">
        <v>60</v>
      </c>
      <c r="B62" s="7" t="s">
        <v>65</v>
      </c>
      <c r="C62" s="8" t="n">
        <v>39.6</v>
      </c>
      <c r="D62" s="7" t="n">
        <v>3169</v>
      </c>
      <c r="E62" s="9" t="n">
        <v>25000</v>
      </c>
    </row>
    <row r="63" customFormat="false" ht="15" hidden="false" customHeight="true" outlineLevel="0" collapsed="false">
      <c r="A63" s="4" t="n">
        <v>61</v>
      </c>
      <c r="B63" s="4" t="s">
        <v>66</v>
      </c>
      <c r="C63" s="5" t="n">
        <v>29.8</v>
      </c>
      <c r="D63" s="4" t="n">
        <v>2894</v>
      </c>
      <c r="E63" s="6" t="n">
        <v>22397.43</v>
      </c>
    </row>
    <row r="64" customFormat="false" ht="15" hidden="false" customHeight="true" outlineLevel="0" collapsed="false">
      <c r="A64" s="7" t="n">
        <v>62</v>
      </c>
      <c r="B64" s="7" t="s">
        <v>67</v>
      </c>
      <c r="C64" s="8" t="n">
        <v>31.7</v>
      </c>
      <c r="D64" s="7" t="n">
        <v>2747</v>
      </c>
      <c r="E64" s="9" t="n">
        <v>21303.57</v>
      </c>
    </row>
    <row r="65" customFormat="false" ht="15" hidden="false" customHeight="true" outlineLevel="0" collapsed="false">
      <c r="A65" s="4" t="n">
        <v>63</v>
      </c>
      <c r="B65" s="4" t="s">
        <v>68</v>
      </c>
      <c r="C65" s="5" t="n">
        <v>25.5</v>
      </c>
      <c r="D65" s="4" t="n">
        <v>2848</v>
      </c>
      <c r="E65" s="6" t="n">
        <v>20028.33</v>
      </c>
    </row>
    <row r="66" customFormat="false" ht="15" hidden="false" customHeight="true" outlineLevel="0" collapsed="false">
      <c r="A66" s="7" t="n">
        <v>64</v>
      </c>
      <c r="B66" s="7" t="s">
        <v>69</v>
      </c>
      <c r="C66" s="8" t="n">
        <v>24.9</v>
      </c>
      <c r="D66" s="7" t="n">
        <v>2688</v>
      </c>
      <c r="E66" s="9" t="n">
        <v>21817.96</v>
      </c>
    </row>
    <row r="67" customFormat="false" ht="15" hidden="false" customHeight="true" outlineLevel="0" collapsed="false">
      <c r="A67" s="4" t="n">
        <v>65</v>
      </c>
      <c r="B67" s="4" t="s">
        <v>70</v>
      </c>
      <c r="C67" s="5" t="n">
        <v>38.5</v>
      </c>
      <c r="D67" s="4" t="n">
        <v>3200</v>
      </c>
      <c r="E67" s="6" t="n">
        <v>23597.75</v>
      </c>
    </row>
    <row r="68" customFormat="false" ht="15" hidden="false" customHeight="true" outlineLevel="0" collapsed="false">
      <c r="A68" s="7" t="n">
        <v>66</v>
      </c>
      <c r="B68" s="7" t="s">
        <v>71</v>
      </c>
      <c r="C68" s="8" t="n">
        <v>42.2</v>
      </c>
      <c r="D68" s="7" t="n">
        <v>3053</v>
      </c>
      <c r="E68" s="9" t="n">
        <v>22322.49</v>
      </c>
    </row>
    <row r="69" customFormat="false" ht="15" hidden="false" customHeight="true" outlineLevel="0" collapsed="false">
      <c r="A69" s="4" t="n">
        <v>67</v>
      </c>
      <c r="B69" s="4" t="s">
        <v>72</v>
      </c>
      <c r="C69" s="5" t="n">
        <v>32.5</v>
      </c>
      <c r="D69" s="4" t="n">
        <v>2773</v>
      </c>
      <c r="E69" s="6" t="n">
        <v>21411.81</v>
      </c>
    </row>
    <row r="70" customFormat="false" ht="15" hidden="false" customHeight="true" outlineLevel="0" collapsed="false">
      <c r="A70" s="7" t="n">
        <v>68</v>
      </c>
      <c r="B70" s="7" t="s">
        <v>73</v>
      </c>
      <c r="C70" s="8" t="n">
        <v>39.8</v>
      </c>
      <c r="D70" s="7" t="n">
        <v>2982</v>
      </c>
      <c r="E70" s="9" t="n">
        <v>21180.16</v>
      </c>
    </row>
    <row r="71" customFormat="false" ht="15" hidden="false" customHeight="true" outlineLevel="0" collapsed="false">
      <c r="A71" s="4" t="n">
        <v>69</v>
      </c>
      <c r="B71" s="4" t="s">
        <v>74</v>
      </c>
      <c r="C71" s="5" t="n">
        <v>35.4</v>
      </c>
      <c r="D71" s="4" t="n">
        <v>3064</v>
      </c>
      <c r="E71" s="6" t="n">
        <v>21478.2</v>
      </c>
    </row>
    <row r="72" customFormat="false" ht="15" hidden="false" customHeight="true" outlineLevel="0" collapsed="false">
      <c r="A72" s="7" t="n">
        <v>70</v>
      </c>
      <c r="B72" s="7" t="s">
        <v>75</v>
      </c>
      <c r="C72" s="8" t="n">
        <v>28.6</v>
      </c>
      <c r="D72" s="7" t="n">
        <v>2767</v>
      </c>
      <c r="E72" s="9" t="n">
        <v>20908.15</v>
      </c>
    </row>
    <row r="73" customFormat="false" ht="15" hidden="false" customHeight="true" outlineLevel="0" collapsed="false">
      <c r="A73" s="4" t="n">
        <v>71</v>
      </c>
      <c r="B73" s="4" t="s">
        <v>76</v>
      </c>
      <c r="C73" s="5" t="n">
        <v>35.4</v>
      </c>
      <c r="D73" s="4" t="n">
        <v>2817</v>
      </c>
      <c r="E73" s="6" t="n">
        <v>21245.27</v>
      </c>
    </row>
    <row r="74" customFormat="false" ht="15" hidden="false" customHeight="true" outlineLevel="0" collapsed="false">
      <c r="A74" s="7" t="n">
        <v>72</v>
      </c>
      <c r="B74" s="7" t="s">
        <v>77</v>
      </c>
      <c r="C74" s="8" t="n">
        <v>43.4</v>
      </c>
      <c r="D74" s="7" t="n">
        <v>3149</v>
      </c>
      <c r="E74" s="9" t="n">
        <v>23678.08</v>
      </c>
    </row>
    <row r="75" customFormat="false" ht="15" hidden="false" customHeight="true" outlineLevel="0" collapsed="false">
      <c r="A75" s="4" t="n">
        <v>73</v>
      </c>
      <c r="B75" s="4" t="s">
        <v>78</v>
      </c>
      <c r="C75" s="5" t="n">
        <v>32.8</v>
      </c>
      <c r="D75" s="4" t="n">
        <v>2990</v>
      </c>
      <c r="E75" s="6" t="n">
        <v>22987.56</v>
      </c>
    </row>
    <row r="76" customFormat="false" ht="15" hidden="false" customHeight="true" outlineLevel="0" collapsed="false">
      <c r="A76" s="7" t="n">
        <v>74</v>
      </c>
      <c r="B76" s="7" t="s">
        <v>79</v>
      </c>
      <c r="C76" s="8" t="n">
        <v>43.6</v>
      </c>
      <c r="D76" s="7" t="n">
        <v>3002</v>
      </c>
      <c r="E76" s="9" t="n">
        <v>22760.37</v>
      </c>
    </row>
    <row r="77" customFormat="false" ht="15" hidden="false" customHeight="true" outlineLevel="0" collapsed="false">
      <c r="A77" s="4" t="n">
        <v>75</v>
      </c>
      <c r="B77" s="4" t="s">
        <v>80</v>
      </c>
      <c r="C77" s="5" t="n">
        <v>20</v>
      </c>
      <c r="D77" s="4" t="n">
        <v>2656</v>
      </c>
      <c r="E77" s="6" t="n">
        <v>20036.03</v>
      </c>
    </row>
    <row r="78" customFormat="false" ht="15" hidden="false" customHeight="true" outlineLevel="0" collapsed="false">
      <c r="A78" s="7" t="n">
        <v>76</v>
      </c>
      <c r="B78" s="7" t="s">
        <v>81</v>
      </c>
      <c r="C78" s="8" t="n">
        <v>38.5</v>
      </c>
      <c r="D78" s="7" t="n">
        <v>3075</v>
      </c>
      <c r="E78" s="9" t="n">
        <v>22088.84</v>
      </c>
    </row>
    <row r="79" customFormat="false" ht="15" hidden="false" customHeight="true" outlineLevel="0" collapsed="false">
      <c r="A79" s="4" t="n">
        <v>77</v>
      </c>
      <c r="B79" s="4" t="s">
        <v>82</v>
      </c>
      <c r="C79" s="5" t="n">
        <v>33.6</v>
      </c>
      <c r="D79" s="4" t="n">
        <v>2664</v>
      </c>
      <c r="E79" s="6" t="n">
        <v>19623.94</v>
      </c>
    </row>
    <row r="80" customFormat="false" ht="15" hidden="false" customHeight="true" outlineLevel="0" collapsed="false">
      <c r="A80" s="7" t="n">
        <v>78</v>
      </c>
      <c r="B80" s="7" t="s">
        <v>83</v>
      </c>
      <c r="C80" s="8" t="n">
        <v>31</v>
      </c>
      <c r="D80" s="7" t="n">
        <v>2633</v>
      </c>
      <c r="E80" s="9" t="n">
        <v>20715.96</v>
      </c>
    </row>
    <row r="81" customFormat="false" ht="15" hidden="false" customHeight="true" outlineLevel="0" collapsed="false">
      <c r="A81" s="4" t="n">
        <v>79</v>
      </c>
      <c r="B81" s="4" t="s">
        <v>84</v>
      </c>
      <c r="C81" s="5" t="n">
        <v>33.6</v>
      </c>
      <c r="D81" s="4" t="n">
        <v>2811</v>
      </c>
      <c r="E81" s="6" t="n">
        <v>21292.18</v>
      </c>
    </row>
    <row r="82" customFormat="false" ht="15" hidden="false" customHeight="true" outlineLevel="0" collapsed="false">
      <c r="A82" s="7" t="n">
        <v>80</v>
      </c>
      <c r="B82" s="7" t="s">
        <v>85</v>
      </c>
      <c r="C82" s="8" t="n">
        <v>20</v>
      </c>
      <c r="D82" s="7" t="n">
        <v>2707</v>
      </c>
      <c r="E82" s="9" t="n">
        <v>20371.51</v>
      </c>
    </row>
    <row r="83" customFormat="false" ht="15" hidden="false" customHeight="true" outlineLevel="0" collapsed="false">
      <c r="A83" s="4" t="n">
        <v>81</v>
      </c>
      <c r="B83" s="4" t="s">
        <v>86</v>
      </c>
      <c r="C83" s="5" t="n">
        <v>31.5</v>
      </c>
      <c r="D83" s="4" t="n">
        <v>2985</v>
      </c>
      <c r="E83" s="6" t="n">
        <v>21712.73</v>
      </c>
    </row>
    <row r="84" customFormat="false" ht="15" hidden="false" customHeight="true" outlineLevel="0" collapsed="false">
      <c r="A84" s="7" t="n">
        <v>82</v>
      </c>
      <c r="B84" s="7" t="s">
        <v>87</v>
      </c>
      <c r="C84" s="8" t="n">
        <v>35.4</v>
      </c>
      <c r="D84" s="7" t="n">
        <v>3200</v>
      </c>
      <c r="E84" s="9" t="n">
        <v>25000</v>
      </c>
    </row>
    <row r="85" customFormat="false" ht="15" hidden="false" customHeight="true" outlineLevel="0" collapsed="false">
      <c r="A85" s="4" t="n">
        <v>83</v>
      </c>
      <c r="B85" s="4" t="s">
        <v>88</v>
      </c>
      <c r="C85" s="5" t="n">
        <v>43</v>
      </c>
      <c r="D85" s="4" t="n">
        <v>3200</v>
      </c>
      <c r="E85" s="6" t="n">
        <v>22973.95</v>
      </c>
    </row>
    <row r="86" customFormat="false" ht="15" hidden="false" customHeight="true" outlineLevel="0" collapsed="false">
      <c r="A86" s="7" t="n">
        <v>84</v>
      </c>
      <c r="B86" s="7" t="s">
        <v>89</v>
      </c>
      <c r="C86" s="8" t="n">
        <v>29.5</v>
      </c>
      <c r="D86" s="7" t="n">
        <v>2861</v>
      </c>
      <c r="E86" s="9" t="n">
        <v>21950.43</v>
      </c>
    </row>
    <row r="87" customFormat="false" ht="15" hidden="false" customHeight="true" outlineLevel="0" collapsed="false">
      <c r="A87" s="4" t="n">
        <v>85</v>
      </c>
      <c r="B87" s="4" t="s">
        <v>90</v>
      </c>
      <c r="C87" s="5" t="n">
        <v>27.5</v>
      </c>
      <c r="D87" s="4" t="n">
        <v>2859</v>
      </c>
      <c r="E87" s="6" t="n">
        <v>21603.92</v>
      </c>
    </row>
    <row r="88" customFormat="false" ht="15" hidden="false" customHeight="true" outlineLevel="0" collapsed="false">
      <c r="A88" s="7" t="n">
        <v>86</v>
      </c>
      <c r="B88" s="7" t="s">
        <v>91</v>
      </c>
      <c r="C88" s="8" t="n">
        <v>29.6</v>
      </c>
      <c r="D88" s="7" t="n">
        <v>2694</v>
      </c>
      <c r="E88" s="9" t="n">
        <v>21732.91</v>
      </c>
    </row>
    <row r="89" customFormat="false" ht="15" hidden="false" customHeight="true" outlineLevel="0" collapsed="false">
      <c r="A89" s="4" t="n">
        <v>87</v>
      </c>
      <c r="B89" s="4" t="s">
        <v>92</v>
      </c>
      <c r="C89" s="5" t="n">
        <v>39.2</v>
      </c>
      <c r="D89" s="4" t="n">
        <v>3034</v>
      </c>
      <c r="E89" s="6" t="n">
        <v>20974.08</v>
      </c>
    </row>
    <row r="90" customFormat="false" ht="15" hidden="false" customHeight="true" outlineLevel="0" collapsed="false">
      <c r="A90" s="7" t="n">
        <v>88</v>
      </c>
      <c r="B90" s="7" t="s">
        <v>93</v>
      </c>
      <c r="C90" s="8" t="n">
        <v>35.2</v>
      </c>
      <c r="D90" s="7" t="n">
        <v>2921</v>
      </c>
      <c r="E90" s="9" t="n">
        <v>22728.98</v>
      </c>
    </row>
    <row r="91" customFormat="false" ht="15" hidden="false" customHeight="true" outlineLevel="0" collapsed="false">
      <c r="A91" s="4" t="n">
        <v>89</v>
      </c>
      <c r="B91" s="4" t="s">
        <v>94</v>
      </c>
      <c r="C91" s="5" t="n">
        <v>29.4</v>
      </c>
      <c r="D91" s="4" t="n">
        <v>2956</v>
      </c>
      <c r="E91" s="6" t="n">
        <v>23135.77</v>
      </c>
    </row>
    <row r="92" customFormat="false" ht="15" hidden="false" customHeight="true" outlineLevel="0" collapsed="false">
      <c r="A92" s="7" t="n">
        <v>90</v>
      </c>
      <c r="B92" s="7" t="s">
        <v>95</v>
      </c>
      <c r="C92" s="8" t="n">
        <v>36.5</v>
      </c>
      <c r="D92" s="7" t="n">
        <v>2832</v>
      </c>
      <c r="E92" s="9" t="n">
        <v>21146.72</v>
      </c>
    </row>
    <row r="93" customFormat="false" ht="15" hidden="false" customHeight="true" outlineLevel="0" collapsed="false">
      <c r="A93" s="4" t="n">
        <v>91</v>
      </c>
      <c r="B93" s="4" t="s">
        <v>96</v>
      </c>
      <c r="C93" s="5" t="n">
        <v>33.7</v>
      </c>
      <c r="D93" s="4" t="n">
        <v>3059</v>
      </c>
      <c r="E93" s="6" t="n">
        <v>23225.36</v>
      </c>
    </row>
    <row r="94" customFormat="false" ht="15" hidden="false" customHeight="true" outlineLevel="0" collapsed="false">
      <c r="A94" s="7" t="n">
        <v>92</v>
      </c>
      <c r="B94" s="7" t="s">
        <v>97</v>
      </c>
      <c r="C94" s="8" t="n">
        <v>39.5</v>
      </c>
      <c r="D94" s="7" t="n">
        <v>3200</v>
      </c>
      <c r="E94" s="9" t="n">
        <v>25000</v>
      </c>
    </row>
    <row r="95" customFormat="false" ht="15" hidden="false" customHeight="true" outlineLevel="0" collapsed="false">
      <c r="A95" s="4" t="n">
        <v>93</v>
      </c>
      <c r="B95" s="4" t="s">
        <v>98</v>
      </c>
      <c r="C95" s="5" t="n">
        <v>28.3</v>
      </c>
      <c r="D95" s="4" t="n">
        <v>2852</v>
      </c>
      <c r="E95" s="6" t="n">
        <v>22691.3</v>
      </c>
    </row>
    <row r="96" customFormat="false" ht="15" hidden="false" customHeight="true" outlineLevel="0" collapsed="false">
      <c r="A96" s="7" t="n">
        <v>94</v>
      </c>
      <c r="B96" s="7" t="s">
        <v>99</v>
      </c>
      <c r="C96" s="8" t="n">
        <v>30.8</v>
      </c>
      <c r="D96" s="7" t="n">
        <v>2992</v>
      </c>
      <c r="E96" s="9" t="n">
        <v>21115.02</v>
      </c>
    </row>
    <row r="97" customFormat="false" ht="15" hidden="false" customHeight="true" outlineLevel="0" collapsed="false">
      <c r="A97" s="4" t="n">
        <v>95</v>
      </c>
      <c r="B97" s="4" t="s">
        <v>100</v>
      </c>
      <c r="C97" s="5" t="n">
        <v>30.4</v>
      </c>
      <c r="D97" s="4" t="n">
        <v>3043</v>
      </c>
      <c r="E97" s="6" t="n">
        <v>22638.47</v>
      </c>
    </row>
    <row r="98" customFormat="false" ht="15" hidden="false" customHeight="true" outlineLevel="0" collapsed="false">
      <c r="A98" s="7" t="n">
        <v>96</v>
      </c>
      <c r="B98" s="7" t="s">
        <v>101</v>
      </c>
      <c r="C98" s="8" t="n">
        <v>23.1</v>
      </c>
      <c r="D98" s="7" t="n">
        <v>2717</v>
      </c>
      <c r="E98" s="9" t="n">
        <v>20903.15</v>
      </c>
    </row>
    <row r="99" customFormat="false" ht="15" hidden="false" customHeight="true" outlineLevel="0" collapsed="false">
      <c r="A99" s="4" t="n">
        <v>97</v>
      </c>
      <c r="B99" s="4" t="s">
        <v>102</v>
      </c>
      <c r="C99" s="5" t="n">
        <v>35</v>
      </c>
      <c r="D99" s="4" t="n">
        <v>3020</v>
      </c>
      <c r="E99" s="6" t="n">
        <v>22144.76</v>
      </c>
    </row>
    <row r="100" customFormat="false" ht="15" hidden="false" customHeight="true" outlineLevel="0" collapsed="false">
      <c r="A100" s="7" t="n">
        <v>98</v>
      </c>
      <c r="B100" s="7" t="s">
        <v>103</v>
      </c>
      <c r="C100" s="8" t="n">
        <v>34.8</v>
      </c>
      <c r="D100" s="7" t="n">
        <v>2974</v>
      </c>
      <c r="E100" s="9" t="n">
        <v>23324.65</v>
      </c>
    </row>
    <row r="101" customFormat="false" ht="15" hidden="false" customHeight="true" outlineLevel="0" collapsed="false">
      <c r="A101" s="4" t="n">
        <v>99</v>
      </c>
      <c r="B101" s="4" t="s">
        <v>104</v>
      </c>
      <c r="C101" s="5" t="n">
        <v>33</v>
      </c>
      <c r="D101" s="4" t="n">
        <v>2965</v>
      </c>
      <c r="E101" s="6" t="n">
        <v>23626.86</v>
      </c>
    </row>
    <row r="102" customFormat="false" ht="15" hidden="false" customHeight="true" outlineLevel="0" collapsed="false">
      <c r="A102" s="7" t="n">
        <v>100</v>
      </c>
      <c r="B102" s="7" t="s">
        <v>105</v>
      </c>
      <c r="C102" s="8" t="n">
        <v>31.4</v>
      </c>
      <c r="D102" s="7" t="n">
        <v>2767</v>
      </c>
      <c r="E102" s="9" t="n">
        <v>21172.18</v>
      </c>
    </row>
    <row r="103" customFormat="false" ht="15" hidden="false" customHeight="true" outlineLevel="0" collapsed="false">
      <c r="A103" s="4" t="n">
        <v>101</v>
      </c>
      <c r="B103" s="4" t="s">
        <v>106</v>
      </c>
      <c r="C103" s="5" t="n">
        <v>23.4</v>
      </c>
      <c r="D103" s="4" t="n">
        <v>2807</v>
      </c>
      <c r="E103" s="6" t="n">
        <v>21688.26</v>
      </c>
    </row>
    <row r="104" customFormat="false" ht="15" hidden="false" customHeight="true" outlineLevel="0" collapsed="false">
      <c r="A104" s="7" t="n">
        <v>102</v>
      </c>
      <c r="B104" s="7" t="s">
        <v>107</v>
      </c>
      <c r="C104" s="8" t="n">
        <v>30.2</v>
      </c>
      <c r="D104" s="7" t="n">
        <v>3002</v>
      </c>
      <c r="E104" s="9" t="n">
        <v>22251.88</v>
      </c>
    </row>
    <row r="105" customFormat="false" ht="15" hidden="false" customHeight="true" outlineLevel="0" collapsed="false">
      <c r="A105" s="4" t="n">
        <v>103</v>
      </c>
      <c r="B105" s="4" t="s">
        <v>108</v>
      </c>
      <c r="C105" s="5" t="n">
        <v>30.7</v>
      </c>
      <c r="D105" s="4" t="n">
        <v>3200</v>
      </c>
      <c r="E105" s="6" t="n">
        <v>25000</v>
      </c>
    </row>
    <row r="106" customFormat="false" ht="15" hidden="false" customHeight="true" outlineLevel="0" collapsed="false">
      <c r="A106" s="7" t="n">
        <v>104</v>
      </c>
      <c r="B106" s="7" t="s">
        <v>109</v>
      </c>
      <c r="C106" s="8" t="n">
        <v>27.6</v>
      </c>
      <c r="D106" s="7" t="n">
        <v>3056</v>
      </c>
      <c r="E106" s="9" t="n">
        <v>23761.82</v>
      </c>
    </row>
    <row r="107" customFormat="false" ht="15" hidden="false" customHeight="true" outlineLevel="0" collapsed="false">
      <c r="A107" s="4" t="n">
        <v>105</v>
      </c>
      <c r="B107" s="4" t="s">
        <v>110</v>
      </c>
      <c r="C107" s="5" t="n">
        <v>31.9</v>
      </c>
      <c r="D107" s="4" t="n">
        <v>3200</v>
      </c>
      <c r="E107" s="6" t="n">
        <v>22941.85</v>
      </c>
    </row>
    <row r="108" customFormat="false" ht="15" hidden="false" customHeight="true" outlineLevel="0" collapsed="false">
      <c r="A108" s="7" t="n">
        <v>106</v>
      </c>
      <c r="B108" s="7" t="s">
        <v>111</v>
      </c>
      <c r="C108" s="8" t="n">
        <v>35.7</v>
      </c>
      <c r="D108" s="7" t="n">
        <v>2832</v>
      </c>
      <c r="E108" s="9" t="n">
        <v>22599.05</v>
      </c>
    </row>
    <row r="109" customFormat="false" ht="15" hidden="false" customHeight="true" outlineLevel="0" collapsed="false">
      <c r="A109" s="4" t="n">
        <v>107</v>
      </c>
      <c r="B109" s="4" t="s">
        <v>112</v>
      </c>
      <c r="C109" s="5" t="n">
        <v>45.7</v>
      </c>
      <c r="D109" s="4" t="n">
        <v>3200</v>
      </c>
      <c r="E109" s="6" t="n">
        <v>25000</v>
      </c>
    </row>
    <row r="110" customFormat="false" ht="15" hidden="false" customHeight="true" outlineLevel="0" collapsed="false">
      <c r="A110" s="7" t="n">
        <v>108</v>
      </c>
      <c r="B110" s="7" t="s">
        <v>113</v>
      </c>
      <c r="C110" s="8" t="n">
        <v>34.2</v>
      </c>
      <c r="D110" s="7" t="n">
        <v>2999</v>
      </c>
      <c r="E110" s="9" t="n">
        <v>23554.1</v>
      </c>
    </row>
    <row r="111" customFormat="false" ht="15" hidden="false" customHeight="true" outlineLevel="0" collapsed="false">
      <c r="A111" s="4" t="n">
        <v>109</v>
      </c>
      <c r="B111" s="4" t="s">
        <v>114</v>
      </c>
      <c r="C111" s="5" t="n">
        <v>34.7</v>
      </c>
      <c r="D111" s="4" t="n">
        <v>3200</v>
      </c>
      <c r="E111" s="6" t="n">
        <v>24203.61</v>
      </c>
    </row>
    <row r="112" customFormat="false" ht="15" hidden="false" customHeight="true" outlineLevel="0" collapsed="false">
      <c r="A112" s="7" t="n">
        <v>110</v>
      </c>
      <c r="B112" s="7" t="s">
        <v>115</v>
      </c>
      <c r="C112" s="8" t="n">
        <v>32.5</v>
      </c>
      <c r="D112" s="7" t="n">
        <v>2776</v>
      </c>
      <c r="E112" s="9" t="n">
        <v>20140.48</v>
      </c>
    </row>
    <row r="113" customFormat="false" ht="15" hidden="false" customHeight="true" outlineLevel="0" collapsed="false">
      <c r="A113" s="4" t="n">
        <v>111</v>
      </c>
      <c r="B113" s="4" t="s">
        <v>116</v>
      </c>
      <c r="C113" s="5" t="n">
        <v>20</v>
      </c>
      <c r="D113" s="4" t="n">
        <v>2583</v>
      </c>
      <c r="E113" s="6" t="n">
        <v>17532.79</v>
      </c>
    </row>
    <row r="114" customFormat="false" ht="15" hidden="false" customHeight="true" outlineLevel="0" collapsed="false">
      <c r="A114" s="7" t="n">
        <v>112</v>
      </c>
      <c r="B114" s="7" t="s">
        <v>117</v>
      </c>
      <c r="C114" s="8" t="n">
        <v>32.8</v>
      </c>
      <c r="D114" s="7" t="n">
        <v>2822</v>
      </c>
      <c r="E114" s="9" t="n">
        <v>20334.46</v>
      </c>
    </row>
    <row r="115" customFormat="false" ht="15" hidden="false" customHeight="true" outlineLevel="0" collapsed="false">
      <c r="A115" s="4" t="n">
        <v>113</v>
      </c>
      <c r="B115" s="4" t="s">
        <v>118</v>
      </c>
      <c r="C115" s="5" t="n">
        <v>33.4</v>
      </c>
      <c r="D115" s="4" t="n">
        <v>2526</v>
      </c>
      <c r="E115" s="6" t="n">
        <v>19693.44</v>
      </c>
    </row>
    <row r="116" customFormat="false" ht="15" hidden="false" customHeight="true" outlineLevel="0" collapsed="false">
      <c r="A116" s="7" t="n">
        <v>114</v>
      </c>
      <c r="B116" s="7" t="s">
        <v>119</v>
      </c>
      <c r="C116" s="8" t="n">
        <v>49.6</v>
      </c>
      <c r="D116" s="7" t="n">
        <v>3089</v>
      </c>
      <c r="E116" s="9" t="n">
        <v>22534.59</v>
      </c>
    </row>
    <row r="117" customFormat="false" ht="15" hidden="false" customHeight="true" outlineLevel="0" collapsed="false">
      <c r="A117" s="4" t="n">
        <v>115</v>
      </c>
      <c r="B117" s="4" t="s">
        <v>120</v>
      </c>
      <c r="C117" s="5" t="n">
        <v>31.7</v>
      </c>
      <c r="D117" s="4" t="n">
        <v>2774</v>
      </c>
      <c r="E117" s="6" t="n">
        <v>20084.32</v>
      </c>
    </row>
    <row r="118" customFormat="false" ht="15" hidden="false" customHeight="true" outlineLevel="0" collapsed="false">
      <c r="A118" s="7" t="n">
        <v>116</v>
      </c>
      <c r="B118" s="7" t="s">
        <v>121</v>
      </c>
      <c r="C118" s="8" t="n">
        <v>35</v>
      </c>
      <c r="D118" s="7" t="n">
        <v>3006</v>
      </c>
      <c r="E118" s="9" t="n">
        <v>22350.79</v>
      </c>
    </row>
    <row r="119" customFormat="false" ht="15" hidden="false" customHeight="true" outlineLevel="0" collapsed="false">
      <c r="A119" s="4" t="n">
        <v>117</v>
      </c>
      <c r="B119" s="4" t="s">
        <v>122</v>
      </c>
      <c r="C119" s="5" t="n">
        <v>32.8</v>
      </c>
      <c r="D119" s="4" t="n">
        <v>3010</v>
      </c>
      <c r="E119" s="6" t="n">
        <v>22679.35</v>
      </c>
    </row>
    <row r="120" customFormat="false" ht="15" hidden="false" customHeight="true" outlineLevel="0" collapsed="false">
      <c r="A120" s="7" t="n">
        <v>118</v>
      </c>
      <c r="B120" s="7" t="s">
        <v>123</v>
      </c>
      <c r="C120" s="8" t="n">
        <v>25.1</v>
      </c>
      <c r="D120" s="7" t="n">
        <v>3200</v>
      </c>
      <c r="E120" s="9" t="n">
        <v>25000</v>
      </c>
    </row>
    <row r="121" customFormat="false" ht="15" hidden="false" customHeight="true" outlineLevel="0" collapsed="false">
      <c r="A121" s="4" t="n">
        <v>119</v>
      </c>
      <c r="B121" s="4" t="s">
        <v>124</v>
      </c>
      <c r="C121" s="5" t="n">
        <v>40.7</v>
      </c>
      <c r="D121" s="4" t="n">
        <v>3200</v>
      </c>
      <c r="E121" s="6" t="n">
        <v>24771.77</v>
      </c>
    </row>
    <row r="122" customFormat="false" ht="15" hidden="false" customHeight="true" outlineLevel="0" collapsed="false">
      <c r="A122" s="7" t="n">
        <v>120</v>
      </c>
      <c r="B122" s="7" t="s">
        <v>125</v>
      </c>
      <c r="C122" s="8" t="n">
        <v>38.1</v>
      </c>
      <c r="D122" s="7" t="n">
        <v>2906</v>
      </c>
      <c r="E122" s="9" t="n">
        <v>21084.81</v>
      </c>
    </row>
    <row r="123" customFormat="false" ht="15" hidden="false" customHeight="true" outlineLevel="0" collapsed="false">
      <c r="A123" s="4" t="n">
        <v>121</v>
      </c>
      <c r="B123" s="4" t="s">
        <v>126</v>
      </c>
      <c r="C123" s="5" t="n">
        <v>38.3</v>
      </c>
      <c r="D123" s="4" t="n">
        <v>2845</v>
      </c>
      <c r="E123" s="6" t="n">
        <v>21768.47</v>
      </c>
    </row>
    <row r="124" customFormat="false" ht="15" hidden="false" customHeight="true" outlineLevel="0" collapsed="false">
      <c r="A124" s="7" t="n">
        <v>122</v>
      </c>
      <c r="B124" s="7" t="s">
        <v>127</v>
      </c>
      <c r="C124" s="8" t="n">
        <v>26.9</v>
      </c>
      <c r="D124" s="7" t="n">
        <v>2951</v>
      </c>
      <c r="E124" s="9" t="n">
        <v>22513.58</v>
      </c>
    </row>
    <row r="125" customFormat="false" ht="15" hidden="false" customHeight="true" outlineLevel="0" collapsed="false">
      <c r="A125" s="4" t="n">
        <v>123</v>
      </c>
      <c r="B125" s="4" t="s">
        <v>128</v>
      </c>
      <c r="C125" s="5" t="n">
        <v>42.5</v>
      </c>
      <c r="D125" s="4" t="n">
        <v>2823</v>
      </c>
      <c r="E125" s="6" t="n">
        <v>20736.01</v>
      </c>
    </row>
    <row r="126" customFormat="false" ht="15" hidden="false" customHeight="true" outlineLevel="0" collapsed="false">
      <c r="A126" s="7" t="n">
        <v>124</v>
      </c>
      <c r="B126" s="7" t="s">
        <v>129</v>
      </c>
      <c r="C126" s="8" t="n">
        <v>23.5</v>
      </c>
      <c r="D126" s="7" t="n">
        <v>3169</v>
      </c>
      <c r="E126" s="9" t="n">
        <v>24540.13</v>
      </c>
    </row>
    <row r="127" customFormat="false" ht="15" hidden="false" customHeight="true" outlineLevel="0" collapsed="false">
      <c r="A127" s="4" t="n">
        <v>125</v>
      </c>
      <c r="B127" s="4" t="s">
        <v>130</v>
      </c>
      <c r="C127" s="5" t="n">
        <v>37</v>
      </c>
      <c r="D127" s="4" t="n">
        <v>3200</v>
      </c>
      <c r="E127" s="6" t="n">
        <v>23142.71</v>
      </c>
    </row>
    <row r="128" customFormat="false" ht="15" hidden="false" customHeight="true" outlineLevel="0" collapsed="false">
      <c r="A128" s="7" t="n">
        <v>126</v>
      </c>
      <c r="B128" s="7" t="s">
        <v>131</v>
      </c>
      <c r="C128" s="8" t="n">
        <v>47.8</v>
      </c>
      <c r="D128" s="7" t="n">
        <v>3073</v>
      </c>
      <c r="E128" s="9" t="n">
        <v>21873.39</v>
      </c>
    </row>
    <row r="129" customFormat="false" ht="15" hidden="false" customHeight="true" outlineLevel="0" collapsed="false">
      <c r="A129" s="4" t="n">
        <v>127</v>
      </c>
      <c r="B129" s="4" t="s">
        <v>132</v>
      </c>
      <c r="C129" s="5" t="n">
        <v>26.3</v>
      </c>
      <c r="D129" s="4" t="n">
        <v>2502</v>
      </c>
      <c r="E129" s="6" t="n">
        <v>19056.24</v>
      </c>
    </row>
    <row r="130" customFormat="false" ht="15" hidden="false" customHeight="true" outlineLevel="0" collapsed="false">
      <c r="A130" s="7" t="n">
        <v>128</v>
      </c>
      <c r="B130" s="7" t="s">
        <v>133</v>
      </c>
      <c r="C130" s="8" t="n">
        <v>29.2</v>
      </c>
      <c r="D130" s="7" t="n">
        <v>3158</v>
      </c>
      <c r="E130" s="9" t="n">
        <v>23983.32</v>
      </c>
    </row>
    <row r="131" customFormat="false" ht="15" hidden="false" customHeight="true" outlineLevel="0" collapsed="false">
      <c r="A131" s="4" t="n">
        <v>129</v>
      </c>
      <c r="B131" s="4" t="s">
        <v>134</v>
      </c>
      <c r="C131" s="5" t="n">
        <v>33.7</v>
      </c>
      <c r="D131" s="4" t="n">
        <v>2932</v>
      </c>
      <c r="E131" s="6" t="n">
        <v>23616.57</v>
      </c>
    </row>
    <row r="132" customFormat="false" ht="15" hidden="false" customHeight="true" outlineLevel="0" collapsed="false">
      <c r="A132" s="7" t="n">
        <v>130</v>
      </c>
      <c r="B132" s="7" t="s">
        <v>135</v>
      </c>
      <c r="C132" s="8" t="n">
        <v>29.6</v>
      </c>
      <c r="D132" s="7" t="n">
        <v>3142</v>
      </c>
      <c r="E132" s="9" t="n">
        <v>23386.28</v>
      </c>
    </row>
    <row r="133" customFormat="false" ht="15" hidden="false" customHeight="true" outlineLevel="0" collapsed="false">
      <c r="A133" s="4" t="n">
        <v>131</v>
      </c>
      <c r="B133" s="4" t="s">
        <v>136</v>
      </c>
      <c r="C133" s="5" t="n">
        <v>22.5</v>
      </c>
      <c r="D133" s="4" t="n">
        <v>2469</v>
      </c>
      <c r="E133" s="6" t="n">
        <v>19249.81</v>
      </c>
    </row>
    <row r="134" customFormat="false" ht="15" hidden="false" customHeight="true" outlineLevel="0" collapsed="false">
      <c r="A134" s="7" t="n">
        <v>132</v>
      </c>
      <c r="B134" s="7" t="s">
        <v>137</v>
      </c>
      <c r="C134" s="8" t="n">
        <v>33.5</v>
      </c>
      <c r="D134" s="7" t="n">
        <v>2832</v>
      </c>
      <c r="E134" s="9" t="n">
        <v>22199.22</v>
      </c>
    </row>
    <row r="135" customFormat="false" ht="15" hidden="false" customHeight="true" outlineLevel="0" collapsed="false">
      <c r="A135" s="4" t="n">
        <v>133</v>
      </c>
      <c r="B135" s="4" t="s">
        <v>138</v>
      </c>
      <c r="C135" s="5" t="n">
        <v>25.8</v>
      </c>
      <c r="D135" s="4" t="n">
        <v>2838</v>
      </c>
      <c r="E135" s="6" t="n">
        <v>20594.24</v>
      </c>
    </row>
    <row r="136" customFormat="false" ht="15" hidden="false" customHeight="true" outlineLevel="0" collapsed="false">
      <c r="A136" s="7" t="n">
        <v>134</v>
      </c>
      <c r="B136" s="7" t="s">
        <v>139</v>
      </c>
      <c r="C136" s="8" t="n">
        <v>36.2</v>
      </c>
      <c r="D136" s="7" t="n">
        <v>3002</v>
      </c>
      <c r="E136" s="9" t="n">
        <v>23330.29</v>
      </c>
    </row>
    <row r="137" customFormat="false" ht="15" hidden="false" customHeight="true" outlineLevel="0" collapsed="false">
      <c r="A137" s="4" t="n">
        <v>135</v>
      </c>
      <c r="B137" s="4" t="s">
        <v>140</v>
      </c>
      <c r="C137" s="5" t="n">
        <v>26.8</v>
      </c>
      <c r="D137" s="4" t="n">
        <v>2762</v>
      </c>
      <c r="E137" s="6" t="n">
        <v>19742.18</v>
      </c>
    </row>
    <row r="138" customFormat="false" ht="15" hidden="false" customHeight="true" outlineLevel="0" collapsed="false">
      <c r="A138" s="7" t="n">
        <v>136</v>
      </c>
      <c r="B138" s="7" t="s">
        <v>141</v>
      </c>
      <c r="C138" s="8" t="n">
        <v>43.5</v>
      </c>
      <c r="D138" s="7" t="n">
        <v>3200</v>
      </c>
      <c r="E138" s="9" t="n">
        <v>25000</v>
      </c>
    </row>
    <row r="139" customFormat="false" ht="15" hidden="false" customHeight="true" outlineLevel="0" collapsed="false">
      <c r="A139" s="4" t="n">
        <v>137</v>
      </c>
      <c r="B139" s="4" t="s">
        <v>142</v>
      </c>
      <c r="C139" s="5" t="n">
        <v>27.7</v>
      </c>
      <c r="D139" s="4" t="n">
        <v>2652</v>
      </c>
      <c r="E139" s="6" t="n">
        <v>19561.51</v>
      </c>
    </row>
    <row r="140" customFormat="false" ht="15" hidden="false" customHeight="true" outlineLevel="0" collapsed="false">
      <c r="A140" s="7" t="n">
        <v>138</v>
      </c>
      <c r="B140" s="7" t="s">
        <v>143</v>
      </c>
      <c r="C140" s="8" t="n">
        <v>30.8</v>
      </c>
      <c r="D140" s="7" t="n">
        <v>2884</v>
      </c>
      <c r="E140" s="9" t="n">
        <v>20975.31</v>
      </c>
    </row>
    <row r="141" customFormat="false" ht="15" hidden="false" customHeight="true" outlineLevel="0" collapsed="false">
      <c r="A141" s="4" t="n">
        <v>139</v>
      </c>
      <c r="B141" s="4" t="s">
        <v>144</v>
      </c>
      <c r="C141" s="5" t="n">
        <v>38.5</v>
      </c>
      <c r="D141" s="4" t="n">
        <v>3051</v>
      </c>
      <c r="E141" s="6" t="n">
        <v>21801.74</v>
      </c>
    </row>
    <row r="142" customFormat="false" ht="15" hidden="false" customHeight="true" outlineLevel="0" collapsed="false">
      <c r="A142" s="7" t="n">
        <v>140</v>
      </c>
      <c r="B142" s="7" t="s">
        <v>145</v>
      </c>
      <c r="C142" s="8" t="n">
        <v>24.7</v>
      </c>
      <c r="D142" s="7" t="n">
        <v>2923</v>
      </c>
      <c r="E142" s="9" t="n">
        <v>23178.19</v>
      </c>
    </row>
    <row r="143" customFormat="false" ht="15" hidden="false" customHeight="true" outlineLevel="0" collapsed="false">
      <c r="A143" s="4" t="n">
        <v>141</v>
      </c>
      <c r="B143" s="4" t="s">
        <v>146</v>
      </c>
      <c r="C143" s="5" t="n">
        <v>34.5</v>
      </c>
      <c r="D143" s="4" t="n">
        <v>3110</v>
      </c>
      <c r="E143" s="6" t="n">
        <v>23346.2</v>
      </c>
    </row>
    <row r="144" customFormat="false" ht="15" hidden="false" customHeight="true" outlineLevel="0" collapsed="false">
      <c r="A144" s="7" t="n">
        <v>142</v>
      </c>
      <c r="B144" s="7" t="s">
        <v>147</v>
      </c>
      <c r="C144" s="8" t="n">
        <v>41.8</v>
      </c>
      <c r="D144" s="7" t="n">
        <v>2852</v>
      </c>
      <c r="E144" s="9" t="n">
        <v>22301.26</v>
      </c>
    </row>
    <row r="145" customFormat="false" ht="15" hidden="false" customHeight="true" outlineLevel="0" collapsed="false">
      <c r="A145" s="4" t="n">
        <v>143</v>
      </c>
      <c r="B145" s="4" t="s">
        <v>148</v>
      </c>
      <c r="C145" s="5" t="n">
        <v>22.1</v>
      </c>
      <c r="D145" s="4" t="n">
        <v>2475</v>
      </c>
      <c r="E145" s="6" t="n">
        <v>17586.56</v>
      </c>
    </row>
    <row r="146" customFormat="false" ht="15" hidden="false" customHeight="true" outlineLevel="0" collapsed="false">
      <c r="A146" s="7" t="n">
        <v>144</v>
      </c>
      <c r="B146" s="7" t="s">
        <v>149</v>
      </c>
      <c r="C146" s="8" t="n">
        <v>34.2</v>
      </c>
      <c r="D146" s="7" t="n">
        <v>3200</v>
      </c>
      <c r="E146" s="9" t="n">
        <v>24823.09</v>
      </c>
    </row>
    <row r="147" customFormat="false" ht="15" hidden="false" customHeight="true" outlineLevel="0" collapsed="false">
      <c r="A147" s="4" t="n">
        <v>145</v>
      </c>
      <c r="B147" s="4" t="s">
        <v>150</v>
      </c>
      <c r="C147" s="5" t="n">
        <v>34.8</v>
      </c>
      <c r="D147" s="4" t="n">
        <v>3038</v>
      </c>
      <c r="E147" s="6" t="n">
        <v>21223.77</v>
      </c>
    </row>
    <row r="148" customFormat="false" ht="15" hidden="false" customHeight="true" outlineLevel="0" collapsed="false">
      <c r="A148" s="7" t="n">
        <v>146</v>
      </c>
      <c r="B148" s="7" t="s">
        <v>151</v>
      </c>
      <c r="C148" s="8" t="n">
        <v>38.3</v>
      </c>
      <c r="D148" s="7" t="n">
        <v>2874</v>
      </c>
      <c r="E148" s="9" t="n">
        <v>23072.13</v>
      </c>
    </row>
    <row r="149" customFormat="false" ht="15" hidden="false" customHeight="true" outlineLevel="0" collapsed="false">
      <c r="A149" s="4" t="n">
        <v>147</v>
      </c>
      <c r="B149" s="4" t="s">
        <v>152</v>
      </c>
      <c r="C149" s="5" t="n">
        <v>24.7</v>
      </c>
      <c r="D149" s="4" t="n">
        <v>3130</v>
      </c>
      <c r="E149" s="6" t="n">
        <v>22874.83</v>
      </c>
    </row>
    <row r="150" customFormat="false" ht="15" hidden="false" customHeight="true" outlineLevel="0" collapsed="false">
      <c r="A150" s="7" t="n">
        <v>148</v>
      </c>
      <c r="B150" s="7" t="s">
        <v>153</v>
      </c>
      <c r="C150" s="8" t="n">
        <v>24.1</v>
      </c>
      <c r="D150" s="7" t="n">
        <v>2834</v>
      </c>
      <c r="E150" s="9" t="n">
        <v>21460.04</v>
      </c>
    </row>
    <row r="151" customFormat="false" ht="15" hidden="false" customHeight="true" outlineLevel="0" collapsed="false">
      <c r="A151" s="4" t="n">
        <v>149</v>
      </c>
      <c r="B151" s="4" t="s">
        <v>154</v>
      </c>
      <c r="C151" s="5" t="n">
        <v>36.5</v>
      </c>
      <c r="D151" s="4" t="n">
        <v>3200</v>
      </c>
      <c r="E151" s="6" t="n">
        <v>22363.07</v>
      </c>
    </row>
    <row r="152" customFormat="false" ht="15" hidden="false" customHeight="true" outlineLevel="0" collapsed="false">
      <c r="A152" s="7" t="n">
        <v>150</v>
      </c>
      <c r="B152" s="7" t="s">
        <v>155</v>
      </c>
      <c r="C152" s="8" t="n">
        <v>35</v>
      </c>
      <c r="D152" s="7" t="n">
        <v>2989</v>
      </c>
      <c r="E152" s="9" t="n">
        <v>22443.58</v>
      </c>
    </row>
    <row r="153" customFormat="false" ht="15" hidden="false" customHeight="true" outlineLevel="0" collapsed="false">
      <c r="A153" s="4" t="n">
        <v>151</v>
      </c>
      <c r="B153" s="4" t="s">
        <v>156</v>
      </c>
      <c r="C153" s="5" t="n">
        <v>34.7</v>
      </c>
      <c r="D153" s="4" t="n">
        <v>3200</v>
      </c>
      <c r="E153" s="6" t="n">
        <v>24332.18</v>
      </c>
    </row>
    <row r="154" customFormat="false" ht="15" hidden="false" customHeight="true" outlineLevel="0" collapsed="false">
      <c r="A154" s="7" t="n">
        <v>152</v>
      </c>
      <c r="B154" s="7" t="s">
        <v>157</v>
      </c>
      <c r="C154" s="8" t="n">
        <v>35.3</v>
      </c>
      <c r="D154" s="7" t="n">
        <v>3200</v>
      </c>
      <c r="E154" s="9" t="n">
        <v>23398.99</v>
      </c>
    </row>
    <row r="155" customFormat="false" ht="15" hidden="false" customHeight="true" outlineLevel="0" collapsed="false">
      <c r="A155" s="4" t="n">
        <v>153</v>
      </c>
      <c r="B155" s="4" t="s">
        <v>158</v>
      </c>
      <c r="C155" s="5" t="n">
        <v>28.4</v>
      </c>
      <c r="D155" s="4" t="n">
        <v>2826</v>
      </c>
      <c r="E155" s="6" t="n">
        <v>21925.99</v>
      </c>
    </row>
    <row r="156" customFormat="false" ht="15" hidden="false" customHeight="true" outlineLevel="0" collapsed="false">
      <c r="A156" s="7" t="n">
        <v>154</v>
      </c>
      <c r="B156" s="7" t="s">
        <v>159</v>
      </c>
      <c r="C156" s="8" t="n">
        <v>34.6</v>
      </c>
      <c r="D156" s="7" t="n">
        <v>3163</v>
      </c>
      <c r="E156" s="9" t="n">
        <v>23714.26</v>
      </c>
    </row>
    <row r="157" customFormat="false" ht="15" hidden="false" customHeight="true" outlineLevel="0" collapsed="false">
      <c r="A157" s="4" t="n">
        <v>155</v>
      </c>
      <c r="B157" s="4" t="s">
        <v>160</v>
      </c>
      <c r="C157" s="5" t="n">
        <v>35</v>
      </c>
      <c r="D157" s="4" t="n">
        <v>3104</v>
      </c>
      <c r="E157" s="6" t="n">
        <v>23659.66</v>
      </c>
    </row>
    <row r="158" customFormat="false" ht="15" hidden="false" customHeight="true" outlineLevel="0" collapsed="false">
      <c r="A158" s="7" t="n">
        <v>156</v>
      </c>
      <c r="B158" s="7" t="s">
        <v>161</v>
      </c>
      <c r="C158" s="8" t="n">
        <v>28.2</v>
      </c>
      <c r="D158" s="7" t="n">
        <v>3146</v>
      </c>
      <c r="E158" s="9" t="n">
        <v>23501.94</v>
      </c>
    </row>
    <row r="159" customFormat="false" ht="15" hidden="false" customHeight="true" outlineLevel="0" collapsed="false">
      <c r="A159" s="4" t="n">
        <v>157</v>
      </c>
      <c r="B159" s="4" t="s">
        <v>162</v>
      </c>
      <c r="C159" s="5" t="n">
        <v>45.6</v>
      </c>
      <c r="D159" s="4" t="n">
        <v>2941</v>
      </c>
      <c r="E159" s="6" t="n">
        <v>21542.43</v>
      </c>
    </row>
    <row r="160" customFormat="false" ht="15" hidden="false" customHeight="true" outlineLevel="0" collapsed="false">
      <c r="A160" s="7" t="n">
        <v>158</v>
      </c>
      <c r="B160" s="7" t="s">
        <v>163</v>
      </c>
      <c r="C160" s="8" t="n">
        <v>36.2</v>
      </c>
      <c r="D160" s="7" t="n">
        <v>3130</v>
      </c>
      <c r="E160" s="9" t="n">
        <v>23758.72</v>
      </c>
    </row>
    <row r="161" customFormat="false" ht="15" hidden="false" customHeight="true" outlineLevel="0" collapsed="false">
      <c r="A161" s="4" t="n">
        <v>159</v>
      </c>
      <c r="B161" s="4" t="s">
        <v>164</v>
      </c>
      <c r="C161" s="5" t="n">
        <v>25</v>
      </c>
      <c r="D161" s="4" t="n">
        <v>3036</v>
      </c>
      <c r="E161" s="6" t="n">
        <v>22260.13</v>
      </c>
    </row>
    <row r="162" customFormat="false" ht="15" hidden="false" customHeight="true" outlineLevel="0" collapsed="false">
      <c r="A162" s="7" t="n">
        <v>160</v>
      </c>
      <c r="B162" s="7" t="s">
        <v>165</v>
      </c>
      <c r="C162" s="8" t="n">
        <v>37.4</v>
      </c>
      <c r="D162" s="7" t="n">
        <v>2660</v>
      </c>
      <c r="E162" s="9" t="n">
        <v>18590.67</v>
      </c>
    </row>
    <row r="163" customFormat="false" ht="15" hidden="false" customHeight="true" outlineLevel="0" collapsed="false">
      <c r="A163" s="4" t="n">
        <v>161</v>
      </c>
      <c r="B163" s="4" t="s">
        <v>166</v>
      </c>
      <c r="C163" s="5" t="n">
        <v>26.4</v>
      </c>
      <c r="D163" s="4" t="n">
        <v>2610</v>
      </c>
      <c r="E163" s="6" t="n">
        <v>20585.75</v>
      </c>
    </row>
    <row r="164" customFormat="false" ht="15" hidden="false" customHeight="true" outlineLevel="0" collapsed="false">
      <c r="A164" s="7" t="n">
        <v>162</v>
      </c>
      <c r="B164" s="7" t="s">
        <v>167</v>
      </c>
      <c r="C164" s="8" t="n">
        <v>38.3</v>
      </c>
      <c r="D164" s="7" t="n">
        <v>2617</v>
      </c>
      <c r="E164" s="9" t="n">
        <v>20444.92</v>
      </c>
    </row>
    <row r="165" customFormat="false" ht="15" hidden="false" customHeight="true" outlineLevel="0" collapsed="false">
      <c r="A165" s="4" t="n">
        <v>163</v>
      </c>
      <c r="B165" s="4" t="s">
        <v>168</v>
      </c>
      <c r="C165" s="5" t="n">
        <v>40.8</v>
      </c>
      <c r="D165" s="4" t="n">
        <v>3008</v>
      </c>
      <c r="E165" s="6" t="n">
        <v>22776.44</v>
      </c>
    </row>
    <row r="166" customFormat="false" ht="15" hidden="false" customHeight="true" outlineLevel="0" collapsed="false">
      <c r="A166" s="7" t="n">
        <v>164</v>
      </c>
      <c r="B166" s="7" t="s">
        <v>169</v>
      </c>
      <c r="C166" s="8" t="n">
        <v>27.5</v>
      </c>
      <c r="D166" s="7" t="n">
        <v>3005</v>
      </c>
      <c r="E166" s="9" t="n">
        <v>21086.99</v>
      </c>
    </row>
    <row r="167" customFormat="false" ht="15" hidden="false" customHeight="true" outlineLevel="0" collapsed="false">
      <c r="A167" s="4" t="n">
        <v>165</v>
      </c>
      <c r="B167" s="4" t="s">
        <v>170</v>
      </c>
      <c r="C167" s="5" t="n">
        <v>39.5</v>
      </c>
      <c r="D167" s="4" t="n">
        <v>3200</v>
      </c>
      <c r="E167" s="6" t="n">
        <v>24181.34</v>
      </c>
    </row>
    <row r="168" customFormat="false" ht="15" hidden="false" customHeight="true" outlineLevel="0" collapsed="false">
      <c r="A168" s="7" t="n">
        <v>166</v>
      </c>
      <c r="B168" s="7" t="s">
        <v>171</v>
      </c>
      <c r="C168" s="8" t="n">
        <v>35.8</v>
      </c>
      <c r="D168" s="7" t="n">
        <v>3002</v>
      </c>
      <c r="E168" s="9" t="n">
        <v>22429.63</v>
      </c>
    </row>
    <row r="169" customFormat="false" ht="15" hidden="false" customHeight="true" outlineLevel="0" collapsed="false">
      <c r="A169" s="4" t="n">
        <v>167</v>
      </c>
      <c r="B169" s="4" t="s">
        <v>172</v>
      </c>
      <c r="C169" s="5" t="n">
        <v>38.5</v>
      </c>
      <c r="D169" s="4" t="n">
        <v>3200</v>
      </c>
      <c r="E169" s="6" t="n">
        <v>23264</v>
      </c>
    </row>
    <row r="170" customFormat="false" ht="15" hidden="false" customHeight="true" outlineLevel="0" collapsed="false">
      <c r="A170" s="7" t="n">
        <v>168</v>
      </c>
      <c r="B170" s="7" t="s">
        <v>173</v>
      </c>
      <c r="C170" s="8" t="n">
        <v>45.8</v>
      </c>
      <c r="D170" s="7" t="n">
        <v>2861</v>
      </c>
      <c r="E170" s="9" t="n">
        <v>20440.88</v>
      </c>
    </row>
    <row r="171" customFormat="false" ht="15" hidden="false" customHeight="true" outlineLevel="0" collapsed="false">
      <c r="A171" s="4" t="n">
        <v>169</v>
      </c>
      <c r="B171" s="4" t="s">
        <v>174</v>
      </c>
      <c r="C171" s="5" t="n">
        <v>31.3</v>
      </c>
      <c r="D171" s="4" t="n">
        <v>2579</v>
      </c>
      <c r="E171" s="6" t="n">
        <v>19621.89</v>
      </c>
    </row>
    <row r="172" customFormat="false" ht="15" hidden="false" customHeight="true" outlineLevel="0" collapsed="false">
      <c r="A172" s="7" t="n">
        <v>170</v>
      </c>
      <c r="B172" s="7" t="s">
        <v>175</v>
      </c>
      <c r="C172" s="8" t="n">
        <v>27.9</v>
      </c>
      <c r="D172" s="7" t="n">
        <v>2858</v>
      </c>
      <c r="E172" s="9" t="n">
        <v>22829.78</v>
      </c>
    </row>
    <row r="173" customFormat="false" ht="15" hidden="false" customHeight="true" outlineLevel="0" collapsed="false">
      <c r="A173" s="4" t="n">
        <v>171</v>
      </c>
      <c r="B173" s="4" t="s">
        <v>176</v>
      </c>
      <c r="C173" s="5" t="n">
        <v>27</v>
      </c>
      <c r="D173" s="4" t="n">
        <v>2932</v>
      </c>
      <c r="E173" s="6" t="n">
        <v>19879.44</v>
      </c>
    </row>
    <row r="174" customFormat="false" ht="15" hidden="false" customHeight="true" outlineLevel="0" collapsed="false">
      <c r="A174" s="7" t="n">
        <v>172</v>
      </c>
      <c r="B174" s="7" t="s">
        <v>177</v>
      </c>
      <c r="C174" s="8" t="n">
        <v>27.5</v>
      </c>
      <c r="D174" s="7" t="n">
        <v>2856</v>
      </c>
      <c r="E174" s="9" t="n">
        <v>19526.55</v>
      </c>
    </row>
    <row r="175" customFormat="false" ht="15" hidden="false" customHeight="true" outlineLevel="0" collapsed="false">
      <c r="A175" s="4" t="n">
        <v>173</v>
      </c>
      <c r="B175" s="4" t="s">
        <v>178</v>
      </c>
      <c r="C175" s="5" t="n">
        <v>32.5</v>
      </c>
      <c r="D175" s="4" t="n">
        <v>2524</v>
      </c>
      <c r="E175" s="6" t="n">
        <v>18471.24</v>
      </c>
    </row>
    <row r="176" customFormat="false" ht="15" hidden="false" customHeight="true" outlineLevel="0" collapsed="false">
      <c r="A176" s="7" t="n">
        <v>174</v>
      </c>
      <c r="B176" s="7" t="s">
        <v>179</v>
      </c>
      <c r="C176" s="8" t="n">
        <v>35.3</v>
      </c>
      <c r="D176" s="7" t="n">
        <v>2962</v>
      </c>
      <c r="E176" s="9" t="n">
        <v>22473.12</v>
      </c>
    </row>
    <row r="177" customFormat="false" ht="15" hidden="false" customHeight="true" outlineLevel="0" collapsed="false">
      <c r="A177" s="4" t="n">
        <v>175</v>
      </c>
      <c r="B177" s="4" t="s">
        <v>180</v>
      </c>
      <c r="C177" s="5" t="n">
        <v>34.9</v>
      </c>
      <c r="D177" s="4" t="n">
        <v>2712</v>
      </c>
      <c r="E177" s="6" t="n">
        <v>18526.84</v>
      </c>
    </row>
    <row r="178" customFormat="false" ht="15" hidden="false" customHeight="true" outlineLevel="0" collapsed="false">
      <c r="A178" s="7" t="n">
        <v>176</v>
      </c>
      <c r="B178" s="7" t="s">
        <v>181</v>
      </c>
      <c r="C178" s="8" t="n">
        <v>38.6</v>
      </c>
      <c r="D178" s="7" t="n">
        <v>3163</v>
      </c>
      <c r="E178" s="9" t="n">
        <v>22824.47</v>
      </c>
    </row>
    <row r="179" customFormat="false" ht="15" hidden="false" customHeight="true" outlineLevel="0" collapsed="false">
      <c r="A179" s="4" t="n">
        <v>177</v>
      </c>
      <c r="B179" s="4" t="s">
        <v>182</v>
      </c>
      <c r="C179" s="5" t="n">
        <v>33.1</v>
      </c>
      <c r="D179" s="4" t="n">
        <v>3020</v>
      </c>
      <c r="E179" s="6" t="n">
        <v>23677.65</v>
      </c>
    </row>
    <row r="180" customFormat="false" ht="15" hidden="false" customHeight="true" outlineLevel="0" collapsed="false">
      <c r="A180" s="7" t="n">
        <v>178</v>
      </c>
      <c r="B180" s="7" t="s">
        <v>183</v>
      </c>
      <c r="C180" s="8" t="n">
        <v>42.8</v>
      </c>
      <c r="D180" s="7" t="n">
        <v>2904</v>
      </c>
      <c r="E180" s="9" t="n">
        <v>20564.45</v>
      </c>
    </row>
    <row r="181" customFormat="false" ht="15" hidden="false" customHeight="true" outlineLevel="0" collapsed="false">
      <c r="A181" s="4" t="n">
        <v>179</v>
      </c>
      <c r="B181" s="4" t="s">
        <v>184</v>
      </c>
      <c r="C181" s="5" t="n">
        <v>31.2</v>
      </c>
      <c r="D181" s="4" t="n">
        <v>2815</v>
      </c>
      <c r="E181" s="6" t="n">
        <v>20902.33</v>
      </c>
    </row>
    <row r="182" customFormat="false" ht="15" hidden="false" customHeight="true" outlineLevel="0" collapsed="false">
      <c r="A182" s="7" t="n">
        <v>180</v>
      </c>
      <c r="B182" s="7" t="s">
        <v>185</v>
      </c>
      <c r="C182" s="8" t="n">
        <v>50</v>
      </c>
      <c r="D182" s="7" t="n">
        <v>2988</v>
      </c>
      <c r="E182" s="9" t="n">
        <v>22063.92</v>
      </c>
    </row>
    <row r="183" customFormat="false" ht="15" hidden="false" customHeight="true" outlineLevel="0" collapsed="false">
      <c r="A183" s="4" t="n">
        <v>181</v>
      </c>
      <c r="B183" s="4" t="s">
        <v>186</v>
      </c>
      <c r="C183" s="5" t="n">
        <v>37.2</v>
      </c>
      <c r="D183" s="4" t="n">
        <v>2996</v>
      </c>
      <c r="E183" s="6" t="n">
        <v>21595.03</v>
      </c>
    </row>
    <row r="184" customFormat="false" ht="15" hidden="false" customHeight="true" outlineLevel="0" collapsed="false">
      <c r="A184" s="7" t="n">
        <v>182</v>
      </c>
      <c r="B184" s="7" t="s">
        <v>187</v>
      </c>
      <c r="C184" s="8" t="n">
        <v>27.2</v>
      </c>
      <c r="D184" s="7" t="n">
        <v>3049</v>
      </c>
      <c r="E184" s="9" t="n">
        <v>22034.84</v>
      </c>
    </row>
    <row r="185" customFormat="false" ht="15" hidden="false" customHeight="true" outlineLevel="0" collapsed="false">
      <c r="A185" s="4" t="n">
        <v>183</v>
      </c>
      <c r="B185" s="4" t="s">
        <v>188</v>
      </c>
      <c r="C185" s="5" t="n">
        <v>25.8</v>
      </c>
      <c r="D185" s="4" t="n">
        <v>2639</v>
      </c>
      <c r="E185" s="6" t="n">
        <v>21302.38</v>
      </c>
    </row>
    <row r="186" customFormat="false" ht="15" hidden="false" customHeight="true" outlineLevel="0" collapsed="false">
      <c r="A186" s="7" t="n">
        <v>184</v>
      </c>
      <c r="B186" s="7" t="s">
        <v>189</v>
      </c>
      <c r="C186" s="8" t="n">
        <v>36.3</v>
      </c>
      <c r="D186" s="7" t="n">
        <v>3095</v>
      </c>
      <c r="E186" s="9" t="n">
        <v>23778.34</v>
      </c>
    </row>
    <row r="187" customFormat="false" ht="15" hidden="false" customHeight="true" outlineLevel="0" collapsed="false">
      <c r="A187" s="4" t="n">
        <v>185</v>
      </c>
      <c r="B187" s="4" t="s">
        <v>190</v>
      </c>
      <c r="C187" s="5" t="n">
        <v>31.5</v>
      </c>
      <c r="D187" s="4" t="n">
        <v>2816</v>
      </c>
      <c r="E187" s="6" t="n">
        <v>21287.14</v>
      </c>
    </row>
    <row r="188" customFormat="false" ht="15" hidden="false" customHeight="true" outlineLevel="0" collapsed="false">
      <c r="A188" s="7" t="n">
        <v>186</v>
      </c>
      <c r="B188" s="7" t="s">
        <v>191</v>
      </c>
      <c r="C188" s="8" t="n">
        <v>37.8</v>
      </c>
      <c r="D188" s="7" t="n">
        <v>2859</v>
      </c>
      <c r="E188" s="9" t="n">
        <v>20802.59</v>
      </c>
    </row>
    <row r="189" customFormat="false" ht="15" hidden="false" customHeight="true" outlineLevel="0" collapsed="false">
      <c r="A189" s="4" t="n">
        <v>187</v>
      </c>
      <c r="B189" s="4" t="s">
        <v>192</v>
      </c>
      <c r="C189" s="5" t="n">
        <v>36.2</v>
      </c>
      <c r="D189" s="4" t="n">
        <v>2972</v>
      </c>
      <c r="E189" s="6" t="n">
        <v>22766.76</v>
      </c>
    </row>
    <row r="190" customFormat="false" ht="15" hidden="false" customHeight="true" outlineLevel="0" collapsed="false">
      <c r="A190" s="7" t="n">
        <v>188</v>
      </c>
      <c r="B190" s="7" t="s">
        <v>193</v>
      </c>
      <c r="C190" s="8" t="n">
        <v>32.5</v>
      </c>
      <c r="D190" s="7" t="n">
        <v>2731</v>
      </c>
      <c r="E190" s="9" t="n">
        <v>19798.48</v>
      </c>
    </row>
    <row r="191" customFormat="false" ht="15" hidden="false" customHeight="true" outlineLevel="0" collapsed="false">
      <c r="A191" s="4" t="n">
        <v>189</v>
      </c>
      <c r="B191" s="4" t="s">
        <v>194</v>
      </c>
      <c r="C191" s="5" t="n">
        <v>27.3</v>
      </c>
      <c r="D191" s="4" t="n">
        <v>2749</v>
      </c>
      <c r="E191" s="6" t="n">
        <v>19928.25</v>
      </c>
    </row>
    <row r="192" customFormat="false" ht="15" hidden="false" customHeight="true" outlineLevel="0" collapsed="false">
      <c r="A192" s="7" t="n">
        <v>190</v>
      </c>
      <c r="B192" s="7" t="s">
        <v>195</v>
      </c>
      <c r="C192" s="8" t="n">
        <v>22.8</v>
      </c>
      <c r="D192" s="7" t="n">
        <v>2552</v>
      </c>
      <c r="E192" s="9" t="n">
        <v>20327.48</v>
      </c>
    </row>
    <row r="193" customFormat="false" ht="15" hidden="false" customHeight="true" outlineLevel="0" collapsed="false">
      <c r="A193" s="4" t="n">
        <v>191</v>
      </c>
      <c r="B193" s="4" t="s">
        <v>196</v>
      </c>
      <c r="C193" s="5" t="n">
        <v>30</v>
      </c>
      <c r="D193" s="4" t="n">
        <v>3200</v>
      </c>
      <c r="E193" s="6" t="n">
        <v>21815.84</v>
      </c>
    </row>
    <row r="194" customFormat="false" ht="15" hidden="false" customHeight="true" outlineLevel="0" collapsed="false">
      <c r="A194" s="7" t="n">
        <v>192</v>
      </c>
      <c r="B194" s="7" t="s">
        <v>197</v>
      </c>
      <c r="C194" s="8" t="n">
        <v>38.8</v>
      </c>
      <c r="D194" s="7" t="n">
        <v>3039</v>
      </c>
      <c r="E194" s="9" t="n">
        <v>22254.74</v>
      </c>
    </row>
    <row r="195" customFormat="false" ht="15" hidden="false" customHeight="true" outlineLevel="0" collapsed="false">
      <c r="A195" s="4" t="n">
        <v>193</v>
      </c>
      <c r="B195" s="4" t="s">
        <v>198</v>
      </c>
      <c r="C195" s="5" t="n">
        <v>34.4</v>
      </c>
      <c r="D195" s="4" t="n">
        <v>2827</v>
      </c>
      <c r="E195" s="6" t="n">
        <v>20335.62</v>
      </c>
    </row>
    <row r="196" customFormat="false" ht="15" hidden="false" customHeight="true" outlineLevel="0" collapsed="false">
      <c r="A196" s="7" t="n">
        <v>194</v>
      </c>
      <c r="B196" s="7" t="s">
        <v>199</v>
      </c>
      <c r="C196" s="8" t="n">
        <v>24.6</v>
      </c>
      <c r="D196" s="7" t="n">
        <v>2862</v>
      </c>
      <c r="E196" s="9" t="n">
        <v>20668.58</v>
      </c>
    </row>
    <row r="197" customFormat="false" ht="15" hidden="false" customHeight="true" outlineLevel="0" collapsed="false">
      <c r="A197" s="4" t="n">
        <v>195</v>
      </c>
      <c r="B197" s="4" t="s">
        <v>200</v>
      </c>
      <c r="C197" s="5" t="n">
        <v>34.2</v>
      </c>
      <c r="D197" s="4" t="n">
        <v>2940</v>
      </c>
      <c r="E197" s="6" t="n">
        <v>21284.78</v>
      </c>
    </row>
    <row r="198" customFormat="false" ht="15" hidden="false" customHeight="true" outlineLevel="0" collapsed="false">
      <c r="A198" s="7" t="n">
        <v>196</v>
      </c>
      <c r="B198" s="7" t="s">
        <v>201</v>
      </c>
      <c r="C198" s="8" t="n">
        <v>35.6</v>
      </c>
      <c r="D198" s="7" t="n">
        <v>2940</v>
      </c>
      <c r="E198" s="9" t="n">
        <v>22522.52</v>
      </c>
    </row>
    <row r="199" customFormat="false" ht="15" hidden="false" customHeight="true" outlineLevel="0" collapsed="false">
      <c r="A199" s="4" t="n">
        <v>197</v>
      </c>
      <c r="B199" s="4" t="s">
        <v>202</v>
      </c>
      <c r="C199" s="5" t="n">
        <v>27</v>
      </c>
      <c r="D199" s="4" t="n">
        <v>2978</v>
      </c>
      <c r="E199" s="6" t="n">
        <v>22385.89</v>
      </c>
    </row>
    <row r="200" customFormat="false" ht="15" hidden="false" customHeight="true" outlineLevel="0" collapsed="false">
      <c r="A200" s="7" t="n">
        <v>198</v>
      </c>
      <c r="B200" s="7" t="s">
        <v>203</v>
      </c>
      <c r="C200" s="8" t="n">
        <v>34</v>
      </c>
      <c r="D200" s="7" t="n">
        <v>3112</v>
      </c>
      <c r="E200" s="9" t="n">
        <v>24785.85</v>
      </c>
    </row>
    <row r="201" customFormat="false" ht="15" hidden="false" customHeight="true" outlineLevel="0" collapsed="false">
      <c r="A201" s="4" t="n">
        <v>199</v>
      </c>
      <c r="B201" s="4" t="s">
        <v>204</v>
      </c>
      <c r="C201" s="5" t="n">
        <v>33.4</v>
      </c>
      <c r="D201" s="4" t="n">
        <v>2845</v>
      </c>
      <c r="E201" s="6" t="n">
        <v>22561.99</v>
      </c>
    </row>
    <row r="202" customFormat="false" ht="15" hidden="false" customHeight="true" outlineLevel="0" collapsed="false">
      <c r="A202" s="7" t="n">
        <v>200</v>
      </c>
      <c r="B202" s="7" t="s">
        <v>205</v>
      </c>
      <c r="C202" s="8" t="n">
        <v>25.3</v>
      </c>
      <c r="D202" s="7" t="n">
        <v>2714</v>
      </c>
      <c r="E202" s="9" t="n">
        <v>20590.27</v>
      </c>
    </row>
    <row r="203" customFormat="false" ht="15" hidden="false" customHeight="true" outlineLevel="0" collapsed="false">
      <c r="A203" s="4" t="n">
        <v>201</v>
      </c>
      <c r="B203" s="4" t="s">
        <v>206</v>
      </c>
      <c r="C203" s="5" t="n">
        <v>35.4</v>
      </c>
      <c r="D203" s="4" t="n">
        <v>2926</v>
      </c>
      <c r="E203" s="6" t="n">
        <v>21339.33</v>
      </c>
    </row>
    <row r="204" customFormat="false" ht="15" hidden="false" customHeight="true" outlineLevel="0" collapsed="false">
      <c r="A204" s="7" t="n">
        <v>202</v>
      </c>
      <c r="B204" s="7" t="s">
        <v>207</v>
      </c>
      <c r="C204" s="8" t="n">
        <v>36.8</v>
      </c>
      <c r="D204" s="7" t="n">
        <v>2541</v>
      </c>
      <c r="E204" s="9" t="n">
        <v>19106.3</v>
      </c>
    </row>
    <row r="205" customFormat="false" ht="15" hidden="false" customHeight="true" outlineLevel="0" collapsed="false">
      <c r="A205" s="4" t="n">
        <v>203</v>
      </c>
      <c r="B205" s="4" t="s">
        <v>208</v>
      </c>
      <c r="C205" s="5" t="n">
        <v>40.3</v>
      </c>
      <c r="D205" s="4" t="n">
        <v>2752</v>
      </c>
      <c r="E205" s="6" t="n">
        <v>20843.62</v>
      </c>
    </row>
    <row r="206" customFormat="false" ht="15" hidden="false" customHeight="true" outlineLevel="0" collapsed="false">
      <c r="A206" s="7" t="n">
        <v>204</v>
      </c>
      <c r="B206" s="7" t="s">
        <v>209</v>
      </c>
      <c r="C206" s="8" t="n">
        <v>40.1</v>
      </c>
      <c r="D206" s="7" t="n">
        <v>3200</v>
      </c>
      <c r="E206" s="9" t="n">
        <v>23977.86</v>
      </c>
    </row>
    <row r="207" customFormat="false" ht="15" hidden="false" customHeight="true" outlineLevel="0" collapsed="false">
      <c r="A207" s="4" t="n">
        <v>205</v>
      </c>
      <c r="B207" s="4" t="s">
        <v>210</v>
      </c>
      <c r="C207" s="5" t="n">
        <v>23.7</v>
      </c>
      <c r="D207" s="4" t="n">
        <v>3135</v>
      </c>
      <c r="E207" s="6" t="n">
        <v>23563.51</v>
      </c>
    </row>
    <row r="208" customFormat="false" ht="15" hidden="false" customHeight="true" outlineLevel="0" collapsed="false">
      <c r="A208" s="7" t="n">
        <v>206</v>
      </c>
      <c r="B208" s="7" t="s">
        <v>211</v>
      </c>
      <c r="C208" s="8" t="n">
        <v>26.7</v>
      </c>
      <c r="D208" s="7" t="n">
        <v>2800</v>
      </c>
      <c r="E208" s="9" t="n">
        <v>21646.82</v>
      </c>
    </row>
    <row r="209" customFormat="false" ht="15" hidden="false" customHeight="true" outlineLevel="0" collapsed="false">
      <c r="A209" s="4" t="n">
        <v>207</v>
      </c>
      <c r="B209" s="4" t="s">
        <v>212</v>
      </c>
      <c r="C209" s="5" t="n">
        <v>36.5</v>
      </c>
      <c r="D209" s="4" t="n">
        <v>3112</v>
      </c>
      <c r="E209" s="6" t="n">
        <v>23481.89</v>
      </c>
    </row>
    <row r="210" customFormat="false" ht="15" hidden="false" customHeight="true" outlineLevel="0" collapsed="false">
      <c r="A210" s="7" t="n">
        <v>208</v>
      </c>
      <c r="B210" s="7" t="s">
        <v>213</v>
      </c>
      <c r="C210" s="8" t="n">
        <v>36.5</v>
      </c>
      <c r="D210" s="7" t="n">
        <v>3059</v>
      </c>
      <c r="E210" s="9" t="n">
        <v>22031.72</v>
      </c>
    </row>
    <row r="211" customFormat="false" ht="15" hidden="false" customHeight="true" outlineLevel="0" collapsed="false">
      <c r="A211" s="4" t="n">
        <v>209</v>
      </c>
      <c r="B211" s="4" t="s">
        <v>214</v>
      </c>
      <c r="C211" s="5" t="n">
        <v>36.5</v>
      </c>
      <c r="D211" s="4" t="n">
        <v>3200</v>
      </c>
      <c r="E211" s="6" t="n">
        <v>23406.34</v>
      </c>
    </row>
    <row r="212" customFormat="false" ht="15" hidden="false" customHeight="true" outlineLevel="0" collapsed="false">
      <c r="A212" s="7" t="n">
        <v>210</v>
      </c>
      <c r="B212" s="7" t="s">
        <v>215</v>
      </c>
      <c r="C212" s="8" t="n">
        <v>50</v>
      </c>
      <c r="D212" s="7" t="n">
        <v>3200</v>
      </c>
      <c r="E212" s="9" t="n">
        <v>25000</v>
      </c>
    </row>
    <row r="213" customFormat="false" ht="15" hidden="false" customHeight="true" outlineLevel="0" collapsed="false">
      <c r="A213" s="4" t="n">
        <v>211</v>
      </c>
      <c r="B213" s="4" t="s">
        <v>216</v>
      </c>
      <c r="C213" s="5" t="n">
        <v>36.9</v>
      </c>
      <c r="D213" s="4" t="n">
        <v>2977</v>
      </c>
      <c r="E213" s="6" t="n">
        <v>23532.58</v>
      </c>
    </row>
    <row r="214" customFormat="false" ht="15" hidden="false" customHeight="true" outlineLevel="0" collapsed="false">
      <c r="A214" s="7" t="n">
        <v>212</v>
      </c>
      <c r="B214" s="7" t="s">
        <v>217</v>
      </c>
      <c r="C214" s="8" t="n">
        <v>40.7</v>
      </c>
      <c r="D214" s="7" t="n">
        <v>2869</v>
      </c>
      <c r="E214" s="9" t="n">
        <v>20158.67</v>
      </c>
    </row>
    <row r="215" customFormat="false" ht="15" hidden="false" customHeight="true" outlineLevel="0" collapsed="false">
      <c r="A215" s="4" t="n">
        <v>213</v>
      </c>
      <c r="B215" s="4" t="s">
        <v>218</v>
      </c>
      <c r="C215" s="5" t="n">
        <v>39.4</v>
      </c>
      <c r="D215" s="4" t="n">
        <v>2720</v>
      </c>
      <c r="E215" s="6" t="n">
        <v>21179.14</v>
      </c>
    </row>
    <row r="216" customFormat="false" ht="15" hidden="false" customHeight="true" outlineLevel="0" collapsed="false">
      <c r="A216" s="7" t="n">
        <v>214</v>
      </c>
      <c r="B216" s="7" t="s">
        <v>219</v>
      </c>
      <c r="C216" s="8" t="n">
        <v>37.4</v>
      </c>
      <c r="D216" s="7" t="n">
        <v>3052</v>
      </c>
      <c r="E216" s="9" t="n">
        <v>21906.87</v>
      </c>
    </row>
    <row r="217" customFormat="false" ht="15" hidden="false" customHeight="true" outlineLevel="0" collapsed="false">
      <c r="A217" s="4" t="n">
        <v>215</v>
      </c>
      <c r="B217" s="4" t="s">
        <v>220</v>
      </c>
      <c r="C217" s="5" t="n">
        <v>30.9</v>
      </c>
      <c r="D217" s="4" t="n">
        <v>2762</v>
      </c>
      <c r="E217" s="6" t="n">
        <v>21578.6</v>
      </c>
    </row>
    <row r="218" customFormat="false" ht="15" hidden="false" customHeight="true" outlineLevel="0" collapsed="false">
      <c r="A218" s="7" t="n">
        <v>216</v>
      </c>
      <c r="B218" s="7" t="s">
        <v>221</v>
      </c>
      <c r="C218" s="8" t="n">
        <v>38.1</v>
      </c>
      <c r="D218" s="7" t="n">
        <v>2737</v>
      </c>
      <c r="E218" s="9" t="n">
        <v>20136.26</v>
      </c>
    </row>
    <row r="219" customFormat="false" ht="15" hidden="false" customHeight="true" outlineLevel="0" collapsed="false">
      <c r="A219" s="4" t="n">
        <v>217</v>
      </c>
      <c r="B219" s="4" t="s">
        <v>222</v>
      </c>
      <c r="C219" s="5" t="n">
        <v>27.8</v>
      </c>
      <c r="D219" s="4" t="n">
        <v>2737</v>
      </c>
      <c r="E219" s="6" t="n">
        <v>19530.86</v>
      </c>
    </row>
    <row r="220" customFormat="false" ht="15" hidden="false" customHeight="true" outlineLevel="0" collapsed="false">
      <c r="A220" s="7" t="n">
        <v>218</v>
      </c>
      <c r="B220" s="7" t="s">
        <v>223</v>
      </c>
      <c r="C220" s="8" t="n">
        <v>31.4</v>
      </c>
      <c r="D220" s="7" t="n">
        <v>2705</v>
      </c>
      <c r="E220" s="9" t="n">
        <v>19375.99</v>
      </c>
    </row>
    <row r="221" customFormat="false" ht="15" hidden="false" customHeight="true" outlineLevel="0" collapsed="false">
      <c r="A221" s="4" t="n">
        <v>219</v>
      </c>
      <c r="B221" s="4" t="s">
        <v>224</v>
      </c>
      <c r="C221" s="5" t="n">
        <v>29.7</v>
      </c>
      <c r="D221" s="4" t="n">
        <v>3200</v>
      </c>
      <c r="E221" s="6" t="n">
        <v>23652.67</v>
      </c>
    </row>
    <row r="222" customFormat="false" ht="15" hidden="false" customHeight="true" outlineLevel="0" collapsed="false">
      <c r="A222" s="7" t="n">
        <v>220</v>
      </c>
      <c r="B222" s="7" t="s">
        <v>225</v>
      </c>
      <c r="C222" s="8" t="n">
        <v>33.6</v>
      </c>
      <c r="D222" s="7" t="n">
        <v>3130</v>
      </c>
      <c r="E222" s="9" t="n">
        <v>23818.04</v>
      </c>
    </row>
    <row r="223" customFormat="false" ht="15" hidden="false" customHeight="true" outlineLevel="0" collapsed="false">
      <c r="A223" s="4" t="n">
        <v>221</v>
      </c>
      <c r="B223" s="4" t="s">
        <v>226</v>
      </c>
      <c r="C223" s="5" t="n">
        <v>48.6</v>
      </c>
      <c r="D223" s="4" t="n">
        <v>3178</v>
      </c>
      <c r="E223" s="6" t="n">
        <v>23775.71</v>
      </c>
    </row>
    <row r="224" customFormat="false" ht="15" hidden="false" customHeight="true" outlineLevel="0" collapsed="false">
      <c r="A224" s="7" t="n">
        <v>222</v>
      </c>
      <c r="B224" s="7" t="s">
        <v>227</v>
      </c>
      <c r="C224" s="8" t="n">
        <v>20.4</v>
      </c>
      <c r="D224" s="7" t="n">
        <v>3052</v>
      </c>
      <c r="E224" s="9" t="n">
        <v>22127.22</v>
      </c>
    </row>
    <row r="225" customFormat="false" ht="15" hidden="false" customHeight="true" outlineLevel="0" collapsed="false">
      <c r="A225" s="4" t="n">
        <v>223</v>
      </c>
      <c r="B225" s="4" t="s">
        <v>228</v>
      </c>
      <c r="C225" s="5" t="n">
        <v>37.6</v>
      </c>
      <c r="D225" s="4" t="n">
        <v>3030</v>
      </c>
      <c r="E225" s="6" t="n">
        <v>21630.45</v>
      </c>
    </row>
    <row r="226" customFormat="false" ht="15" hidden="false" customHeight="true" outlineLevel="0" collapsed="false">
      <c r="A226" s="7" t="n">
        <v>224</v>
      </c>
      <c r="B226" s="7" t="s">
        <v>229</v>
      </c>
      <c r="C226" s="8" t="n">
        <v>22.1</v>
      </c>
      <c r="D226" s="7" t="n">
        <v>2609</v>
      </c>
      <c r="E226" s="9" t="n">
        <v>19862.15</v>
      </c>
    </row>
    <row r="227" customFormat="false" ht="15" hidden="false" customHeight="true" outlineLevel="0" collapsed="false">
      <c r="A227" s="4" t="n">
        <v>225</v>
      </c>
      <c r="B227" s="4" t="s">
        <v>230</v>
      </c>
      <c r="C227" s="5" t="n">
        <v>29.8</v>
      </c>
      <c r="D227" s="4" t="n">
        <v>3200</v>
      </c>
      <c r="E227" s="6" t="n">
        <v>25000</v>
      </c>
    </row>
    <row r="228" customFormat="false" ht="15" hidden="false" customHeight="true" outlineLevel="0" collapsed="false">
      <c r="A228" s="7" t="n">
        <v>226</v>
      </c>
      <c r="B228" s="7" t="s">
        <v>231</v>
      </c>
      <c r="C228" s="8" t="n">
        <v>40.4</v>
      </c>
      <c r="D228" s="7" t="n">
        <v>3163</v>
      </c>
      <c r="E228" s="9" t="n">
        <v>24242.44</v>
      </c>
    </row>
    <row r="229" customFormat="false" ht="15" hidden="false" customHeight="true" outlineLevel="0" collapsed="false">
      <c r="A229" s="4" t="n">
        <v>227</v>
      </c>
      <c r="B229" s="4" t="s">
        <v>232</v>
      </c>
      <c r="C229" s="5" t="n">
        <v>33.4</v>
      </c>
      <c r="D229" s="4" t="n">
        <v>2744</v>
      </c>
      <c r="E229" s="6" t="n">
        <v>19568.61</v>
      </c>
    </row>
    <row r="230" customFormat="false" ht="15" hidden="false" customHeight="true" outlineLevel="0" collapsed="false">
      <c r="A230" s="7" t="n">
        <v>228</v>
      </c>
      <c r="B230" s="7" t="s">
        <v>233</v>
      </c>
      <c r="C230" s="8" t="n">
        <v>25.7</v>
      </c>
      <c r="D230" s="7" t="n">
        <v>2798</v>
      </c>
      <c r="E230" s="9" t="n">
        <v>20361.36</v>
      </c>
    </row>
    <row r="231" customFormat="false" ht="15" hidden="false" customHeight="true" outlineLevel="0" collapsed="false">
      <c r="A231" s="4" t="n">
        <v>229</v>
      </c>
      <c r="B231" s="4" t="s">
        <v>234</v>
      </c>
      <c r="C231" s="5" t="n">
        <v>28.2</v>
      </c>
      <c r="D231" s="4" t="n">
        <v>2697</v>
      </c>
      <c r="E231" s="6" t="n">
        <v>19032.79</v>
      </c>
    </row>
    <row r="232" customFormat="false" ht="15" hidden="false" customHeight="true" outlineLevel="0" collapsed="false">
      <c r="A232" s="7" t="n">
        <v>230</v>
      </c>
      <c r="B232" s="7" t="s">
        <v>235</v>
      </c>
      <c r="C232" s="8" t="n">
        <v>37.6</v>
      </c>
      <c r="D232" s="7" t="n">
        <v>2737</v>
      </c>
      <c r="E232" s="9" t="n">
        <v>20640.57</v>
      </c>
    </row>
    <row r="233" customFormat="false" ht="15" hidden="false" customHeight="true" outlineLevel="0" collapsed="false">
      <c r="A233" s="4" t="n">
        <v>231</v>
      </c>
      <c r="B233" s="4" t="s">
        <v>236</v>
      </c>
      <c r="C233" s="5" t="n">
        <v>28.1</v>
      </c>
      <c r="D233" s="4" t="n">
        <v>3056</v>
      </c>
      <c r="E233" s="6" t="n">
        <v>21628.26</v>
      </c>
    </row>
    <row r="234" customFormat="false" ht="15" hidden="false" customHeight="true" outlineLevel="0" collapsed="false">
      <c r="A234" s="7" t="n">
        <v>232</v>
      </c>
      <c r="B234" s="7" t="s">
        <v>237</v>
      </c>
      <c r="C234" s="8" t="n">
        <v>34.5</v>
      </c>
      <c r="D234" s="7" t="n">
        <v>3200</v>
      </c>
      <c r="E234" s="9" t="n">
        <v>23903.86</v>
      </c>
    </row>
    <row r="235" customFormat="false" ht="15" hidden="false" customHeight="true" outlineLevel="0" collapsed="false">
      <c r="A235" s="4" t="n">
        <v>233</v>
      </c>
      <c r="B235" s="4" t="s">
        <v>238</v>
      </c>
      <c r="C235" s="5" t="n">
        <v>33.3</v>
      </c>
      <c r="D235" s="4" t="n">
        <v>2670</v>
      </c>
      <c r="E235" s="6" t="n">
        <v>18920.92</v>
      </c>
    </row>
    <row r="236" customFormat="false" ht="15" hidden="false" customHeight="true" outlineLevel="0" collapsed="false">
      <c r="A236" s="7" t="n">
        <v>234</v>
      </c>
      <c r="B236" s="7" t="s">
        <v>239</v>
      </c>
      <c r="C236" s="8" t="n">
        <v>28.6</v>
      </c>
      <c r="D236" s="7" t="n">
        <v>2992</v>
      </c>
      <c r="E236" s="9" t="n">
        <v>22461.55</v>
      </c>
    </row>
    <row r="237" customFormat="false" ht="15" hidden="false" customHeight="true" outlineLevel="0" collapsed="false">
      <c r="A237" s="4" t="n">
        <v>235</v>
      </c>
      <c r="B237" s="4" t="s">
        <v>240</v>
      </c>
      <c r="C237" s="5" t="n">
        <v>47.5</v>
      </c>
      <c r="D237" s="4" t="n">
        <v>3032</v>
      </c>
      <c r="E237" s="6" t="n">
        <v>24097.95</v>
      </c>
    </row>
    <row r="238" customFormat="false" ht="15" hidden="false" customHeight="true" outlineLevel="0" collapsed="false">
      <c r="A238" s="7" t="n">
        <v>236</v>
      </c>
      <c r="B238" s="7" t="s">
        <v>241</v>
      </c>
      <c r="C238" s="8" t="n">
        <v>37.3</v>
      </c>
      <c r="D238" s="7" t="n">
        <v>2912</v>
      </c>
      <c r="E238" s="9" t="n">
        <v>23120.63</v>
      </c>
    </row>
    <row r="239" customFormat="false" ht="15" hidden="false" customHeight="true" outlineLevel="0" collapsed="false">
      <c r="A239" s="4" t="n">
        <v>237</v>
      </c>
      <c r="B239" s="4" t="s">
        <v>242</v>
      </c>
      <c r="C239" s="5" t="n">
        <v>20</v>
      </c>
      <c r="D239" s="4" t="n">
        <v>2632</v>
      </c>
      <c r="E239" s="6" t="n">
        <v>18681.71</v>
      </c>
    </row>
    <row r="240" customFormat="false" ht="15" hidden="false" customHeight="true" outlineLevel="0" collapsed="false">
      <c r="A240" s="7" t="n">
        <v>238</v>
      </c>
      <c r="B240" s="7" t="s">
        <v>243</v>
      </c>
      <c r="C240" s="8" t="n">
        <v>34.3</v>
      </c>
      <c r="D240" s="7" t="n">
        <v>2791</v>
      </c>
      <c r="E240" s="9" t="n">
        <v>19853.98</v>
      </c>
    </row>
    <row r="241" customFormat="false" ht="15" hidden="false" customHeight="true" outlineLevel="0" collapsed="false">
      <c r="A241" s="4" t="n">
        <v>239</v>
      </c>
      <c r="B241" s="4" t="s">
        <v>244</v>
      </c>
      <c r="C241" s="5" t="n">
        <v>28.5</v>
      </c>
      <c r="D241" s="4" t="n">
        <v>2888</v>
      </c>
      <c r="E241" s="6" t="n">
        <v>21311</v>
      </c>
    </row>
    <row r="242" customFormat="false" ht="15" hidden="false" customHeight="true" outlineLevel="0" collapsed="false">
      <c r="A242" s="7" t="n">
        <v>240</v>
      </c>
      <c r="B242" s="7" t="s">
        <v>245</v>
      </c>
      <c r="C242" s="8" t="n">
        <v>38.8</v>
      </c>
      <c r="D242" s="7" t="n">
        <v>2865</v>
      </c>
      <c r="E242" s="9" t="n">
        <v>23095.87</v>
      </c>
    </row>
    <row r="243" customFormat="false" ht="15" hidden="false" customHeight="true" outlineLevel="0" collapsed="false">
      <c r="A243" s="4" t="n">
        <v>241</v>
      </c>
      <c r="B243" s="4" t="s">
        <v>246</v>
      </c>
      <c r="C243" s="5" t="n">
        <v>27.7</v>
      </c>
      <c r="D243" s="4" t="n">
        <v>2919</v>
      </c>
      <c r="E243" s="6" t="n">
        <v>23013.7</v>
      </c>
    </row>
    <row r="244" customFormat="false" ht="15" hidden="false" customHeight="true" outlineLevel="0" collapsed="false">
      <c r="A244" s="7" t="n">
        <v>242</v>
      </c>
      <c r="B244" s="7" t="s">
        <v>247</v>
      </c>
      <c r="C244" s="8" t="n">
        <v>32.2</v>
      </c>
      <c r="D244" s="7" t="n">
        <v>2923</v>
      </c>
      <c r="E244" s="9" t="n">
        <v>21883.77</v>
      </c>
    </row>
    <row r="245" customFormat="false" ht="15" hidden="false" customHeight="true" outlineLevel="0" collapsed="false">
      <c r="A245" s="4" t="n">
        <v>243</v>
      </c>
      <c r="B245" s="4" t="s">
        <v>248</v>
      </c>
      <c r="C245" s="5" t="n">
        <v>36.4</v>
      </c>
      <c r="D245" s="4" t="n">
        <v>2948</v>
      </c>
      <c r="E245" s="6" t="n">
        <v>22755.44</v>
      </c>
    </row>
    <row r="246" customFormat="false" ht="15" hidden="false" customHeight="true" outlineLevel="0" collapsed="false">
      <c r="A246" s="7" t="n">
        <v>244</v>
      </c>
      <c r="B246" s="7" t="s">
        <v>249</v>
      </c>
      <c r="C246" s="8" t="n">
        <v>38.8</v>
      </c>
      <c r="D246" s="7" t="n">
        <v>2851</v>
      </c>
      <c r="E246" s="9" t="n">
        <v>22049.76</v>
      </c>
    </row>
    <row r="247" customFormat="false" ht="15" hidden="false" customHeight="true" outlineLevel="0" collapsed="false">
      <c r="A247" s="4" t="n">
        <v>245</v>
      </c>
      <c r="B247" s="4" t="s">
        <v>250</v>
      </c>
      <c r="C247" s="5" t="n">
        <v>24.9</v>
      </c>
      <c r="D247" s="4" t="n">
        <v>2708</v>
      </c>
      <c r="E247" s="6" t="n">
        <v>19878.5</v>
      </c>
    </row>
    <row r="248" customFormat="false" ht="15" hidden="false" customHeight="true" outlineLevel="0" collapsed="false">
      <c r="A248" s="7" t="n">
        <v>246</v>
      </c>
      <c r="B248" s="7" t="s">
        <v>251</v>
      </c>
      <c r="C248" s="8" t="n">
        <v>30.7</v>
      </c>
      <c r="D248" s="7" t="n">
        <v>3062</v>
      </c>
      <c r="E248" s="9" t="n">
        <v>24551.52</v>
      </c>
    </row>
    <row r="249" customFormat="false" ht="15" hidden="false" customHeight="true" outlineLevel="0" collapsed="false">
      <c r="A249" s="4" t="n">
        <v>247</v>
      </c>
      <c r="B249" s="4" t="s">
        <v>252</v>
      </c>
      <c r="C249" s="5" t="n">
        <v>29.8</v>
      </c>
      <c r="D249" s="4" t="n">
        <v>2997</v>
      </c>
      <c r="E249" s="6" t="n">
        <v>22758.83</v>
      </c>
    </row>
    <row r="250" customFormat="false" ht="15" hidden="false" customHeight="true" outlineLevel="0" collapsed="false">
      <c r="A250" s="7" t="n">
        <v>248</v>
      </c>
      <c r="B250" s="7" t="s">
        <v>253</v>
      </c>
      <c r="C250" s="8" t="n">
        <v>28.6</v>
      </c>
      <c r="D250" s="7" t="n">
        <v>2683</v>
      </c>
      <c r="E250" s="9" t="n">
        <v>19541.34</v>
      </c>
    </row>
    <row r="251" customFormat="false" ht="15" hidden="false" customHeight="true" outlineLevel="0" collapsed="false">
      <c r="A251" s="4" t="n">
        <v>249</v>
      </c>
      <c r="B251" s="4" t="s">
        <v>254</v>
      </c>
      <c r="C251" s="5" t="n">
        <v>44.9</v>
      </c>
      <c r="D251" s="4" t="n">
        <v>3144</v>
      </c>
      <c r="E251" s="6" t="n">
        <v>24298.17</v>
      </c>
    </row>
    <row r="252" customFormat="false" ht="15" hidden="false" customHeight="true" outlineLevel="0" collapsed="false">
      <c r="A252" s="7" t="n">
        <v>250</v>
      </c>
      <c r="B252" s="7" t="s">
        <v>255</v>
      </c>
      <c r="C252" s="8" t="n">
        <v>35.7</v>
      </c>
      <c r="D252" s="7" t="n">
        <v>3136</v>
      </c>
      <c r="E252" s="9" t="n">
        <v>22198.09</v>
      </c>
    </row>
    <row r="253" customFormat="false" ht="15" hidden="false" customHeight="true" outlineLevel="0" collapsed="false">
      <c r="A253" s="4" t="n">
        <v>251</v>
      </c>
      <c r="B253" s="4" t="s">
        <v>256</v>
      </c>
      <c r="C253" s="5" t="n">
        <v>24.5</v>
      </c>
      <c r="D253" s="4" t="n">
        <v>2483</v>
      </c>
      <c r="E253" s="6" t="n">
        <v>18831.51</v>
      </c>
    </row>
    <row r="254" customFormat="false" ht="15" hidden="false" customHeight="true" outlineLevel="0" collapsed="false">
      <c r="A254" s="7" t="n">
        <v>252</v>
      </c>
      <c r="B254" s="7" t="s">
        <v>257</v>
      </c>
      <c r="C254" s="8" t="n">
        <v>39.2</v>
      </c>
      <c r="D254" s="7" t="n">
        <v>3147</v>
      </c>
      <c r="E254" s="9" t="n">
        <v>24007</v>
      </c>
    </row>
    <row r="255" customFormat="false" ht="15" hidden="false" customHeight="true" outlineLevel="0" collapsed="false">
      <c r="A255" s="4" t="n">
        <v>253</v>
      </c>
      <c r="B255" s="4" t="s">
        <v>258</v>
      </c>
      <c r="C255" s="5" t="n">
        <v>47.3</v>
      </c>
      <c r="D255" s="4" t="n">
        <v>3027</v>
      </c>
      <c r="E255" s="6" t="n">
        <v>22307.61</v>
      </c>
    </row>
    <row r="256" customFormat="false" ht="15" hidden="false" customHeight="true" outlineLevel="0" collapsed="false">
      <c r="A256" s="7" t="n">
        <v>254</v>
      </c>
      <c r="B256" s="7" t="s">
        <v>259</v>
      </c>
      <c r="C256" s="8" t="n">
        <v>40</v>
      </c>
      <c r="D256" s="7" t="n">
        <v>3164</v>
      </c>
      <c r="E256" s="9" t="n">
        <v>24155.33</v>
      </c>
    </row>
    <row r="257" customFormat="false" ht="15" hidden="false" customHeight="true" outlineLevel="0" collapsed="false">
      <c r="A257" s="4" t="n">
        <v>255</v>
      </c>
      <c r="B257" s="4" t="s">
        <v>260</v>
      </c>
      <c r="C257" s="5" t="n">
        <v>22.7</v>
      </c>
      <c r="D257" s="4" t="n">
        <v>2639</v>
      </c>
      <c r="E257" s="6" t="n">
        <v>18794.77</v>
      </c>
    </row>
    <row r="258" customFormat="false" ht="15" hidden="false" customHeight="true" outlineLevel="0" collapsed="false">
      <c r="A258" s="7" t="n">
        <v>256</v>
      </c>
      <c r="B258" s="7" t="s">
        <v>261</v>
      </c>
      <c r="C258" s="8" t="n">
        <v>29.7</v>
      </c>
      <c r="D258" s="7" t="n">
        <v>2535</v>
      </c>
      <c r="E258" s="9" t="n">
        <v>18489.92</v>
      </c>
    </row>
    <row r="259" customFormat="false" ht="15" hidden="false" customHeight="true" outlineLevel="0" collapsed="false">
      <c r="A259" s="4" t="n">
        <v>257</v>
      </c>
      <c r="B259" s="4" t="s">
        <v>262</v>
      </c>
      <c r="C259" s="5" t="n">
        <v>41.6</v>
      </c>
      <c r="D259" s="4" t="n">
        <v>2748</v>
      </c>
      <c r="E259" s="6" t="n">
        <v>19869.16</v>
      </c>
    </row>
    <row r="260" customFormat="false" ht="15" hidden="false" customHeight="true" outlineLevel="0" collapsed="false">
      <c r="A260" s="7" t="n">
        <v>258</v>
      </c>
      <c r="B260" s="7" t="s">
        <v>263</v>
      </c>
      <c r="C260" s="8" t="n">
        <v>28.2</v>
      </c>
      <c r="D260" s="7" t="n">
        <v>2883</v>
      </c>
      <c r="E260" s="9" t="n">
        <v>21418.49</v>
      </c>
    </row>
    <row r="261" customFormat="false" ht="15" hidden="false" customHeight="true" outlineLevel="0" collapsed="false">
      <c r="A261" s="4" t="n">
        <v>259</v>
      </c>
      <c r="B261" s="4" t="s">
        <v>264</v>
      </c>
      <c r="C261" s="5" t="n">
        <v>36</v>
      </c>
      <c r="D261" s="4" t="n">
        <v>3042</v>
      </c>
      <c r="E261" s="6" t="n">
        <v>23742.76</v>
      </c>
    </row>
    <row r="262" customFormat="false" ht="15" hidden="false" customHeight="true" outlineLevel="0" collapsed="false">
      <c r="A262" s="7" t="n">
        <v>260</v>
      </c>
      <c r="B262" s="7" t="s">
        <v>265</v>
      </c>
      <c r="C262" s="8" t="n">
        <v>38.2</v>
      </c>
      <c r="D262" s="7" t="n">
        <v>2843</v>
      </c>
      <c r="E262" s="9" t="n">
        <v>20458.87</v>
      </c>
    </row>
    <row r="263" customFormat="false" ht="15" hidden="false" customHeight="true" outlineLevel="0" collapsed="false">
      <c r="A263" s="4" t="n">
        <v>261</v>
      </c>
      <c r="B263" s="4" t="s">
        <v>266</v>
      </c>
      <c r="C263" s="5" t="n">
        <v>26.7</v>
      </c>
      <c r="D263" s="4" t="n">
        <v>2979</v>
      </c>
      <c r="E263" s="6" t="n">
        <v>22528.14</v>
      </c>
    </row>
    <row r="264" customFormat="false" ht="15" hidden="false" customHeight="true" outlineLevel="0" collapsed="false">
      <c r="A264" s="7" t="n">
        <v>262</v>
      </c>
      <c r="B264" s="7" t="s">
        <v>267</v>
      </c>
      <c r="C264" s="8" t="n">
        <v>32.6</v>
      </c>
      <c r="D264" s="7" t="n">
        <v>2607</v>
      </c>
      <c r="E264" s="9" t="n">
        <v>20561.2</v>
      </c>
    </row>
    <row r="265" customFormat="false" ht="15" hidden="false" customHeight="true" outlineLevel="0" collapsed="false">
      <c r="A265" s="4" t="n">
        <v>263</v>
      </c>
      <c r="B265" s="4" t="s">
        <v>268</v>
      </c>
      <c r="C265" s="5" t="n">
        <v>20</v>
      </c>
      <c r="D265" s="4" t="n">
        <v>2737</v>
      </c>
      <c r="E265" s="6" t="n">
        <v>21839.24</v>
      </c>
    </row>
    <row r="266" customFormat="false" ht="15" hidden="false" customHeight="true" outlineLevel="0" collapsed="false">
      <c r="A266" s="7" t="n">
        <v>264</v>
      </c>
      <c r="B266" s="7" t="s">
        <v>269</v>
      </c>
      <c r="C266" s="8" t="n">
        <v>26.1</v>
      </c>
      <c r="D266" s="7" t="n">
        <v>2599</v>
      </c>
      <c r="E266" s="9" t="n">
        <v>20845.98</v>
      </c>
    </row>
    <row r="267" customFormat="false" ht="15" hidden="false" customHeight="true" outlineLevel="0" collapsed="false">
      <c r="A267" s="4" t="n">
        <v>265</v>
      </c>
      <c r="B267" s="4" t="s">
        <v>270</v>
      </c>
      <c r="C267" s="5" t="n">
        <v>31.3</v>
      </c>
      <c r="D267" s="4" t="n">
        <v>2789</v>
      </c>
      <c r="E267" s="6" t="n">
        <v>21585.15</v>
      </c>
    </row>
    <row r="268" customFormat="false" ht="15" hidden="false" customHeight="true" outlineLevel="0" collapsed="false">
      <c r="A268" s="7" t="n">
        <v>266</v>
      </c>
      <c r="B268" s="7" t="s">
        <v>271</v>
      </c>
      <c r="C268" s="8" t="n">
        <v>24.6</v>
      </c>
      <c r="D268" s="7" t="n">
        <v>2828</v>
      </c>
      <c r="E268" s="9" t="n">
        <v>20463.87</v>
      </c>
    </row>
    <row r="269" customFormat="false" ht="15" hidden="false" customHeight="true" outlineLevel="0" collapsed="false">
      <c r="A269" s="4" t="n">
        <v>267</v>
      </c>
      <c r="B269" s="4" t="s">
        <v>272</v>
      </c>
      <c r="C269" s="5" t="n">
        <v>44</v>
      </c>
      <c r="D269" s="4" t="n">
        <v>2938</v>
      </c>
      <c r="E269" s="6" t="n">
        <v>20964.38</v>
      </c>
    </row>
    <row r="270" customFormat="false" ht="15" hidden="false" customHeight="true" outlineLevel="0" collapsed="false">
      <c r="A270" s="7" t="n">
        <v>268</v>
      </c>
      <c r="B270" s="7" t="s">
        <v>273</v>
      </c>
      <c r="C270" s="8" t="n">
        <v>23.3</v>
      </c>
      <c r="D270" s="7" t="n">
        <v>2723</v>
      </c>
      <c r="E270" s="9" t="n">
        <v>19263.75</v>
      </c>
    </row>
    <row r="271" customFormat="false" ht="15" hidden="false" customHeight="true" outlineLevel="0" collapsed="false">
      <c r="A271" s="4" t="n">
        <v>269</v>
      </c>
      <c r="B271" s="4" t="s">
        <v>274</v>
      </c>
      <c r="C271" s="5" t="n">
        <v>30</v>
      </c>
      <c r="D271" s="4" t="n">
        <v>3102</v>
      </c>
      <c r="E271" s="6" t="n">
        <v>23431.24</v>
      </c>
    </row>
    <row r="272" customFormat="false" ht="15" hidden="false" customHeight="true" outlineLevel="0" collapsed="false">
      <c r="A272" s="7" t="n">
        <v>270</v>
      </c>
      <c r="B272" s="7" t="s">
        <v>275</v>
      </c>
      <c r="C272" s="8" t="n">
        <v>33.9</v>
      </c>
      <c r="D272" s="7" t="n">
        <v>2843</v>
      </c>
      <c r="E272" s="9" t="n">
        <v>19212.91</v>
      </c>
    </row>
    <row r="274" customFormat="false" ht="15" hidden="false" customHeight="true" outlineLevel="0" collapsed="false">
      <c r="A274" s="10" t="s">
        <v>276</v>
      </c>
      <c r="B274" s="10"/>
      <c r="C274" s="10"/>
      <c r="D274" s="10"/>
      <c r="E274" s="10"/>
      <c r="F274" s="10"/>
    </row>
    <row r="275" customFormat="false" ht="26.25" hidden="false" customHeight="true" outlineLevel="0" collapsed="false">
      <c r="A275" s="11" t="s">
        <v>277</v>
      </c>
      <c r="B275" s="11" t="s">
        <v>278</v>
      </c>
      <c r="C275" s="11"/>
      <c r="D275" s="11"/>
      <c r="E275" s="11" t="s">
        <v>279</v>
      </c>
      <c r="F275" s="11"/>
    </row>
    <row r="276" customFormat="false" ht="23.25" hidden="false" customHeight="true" outlineLevel="0" collapsed="false">
      <c r="A276" s="12" t="s">
        <v>280</v>
      </c>
      <c r="B276" s="13" t="n">
        <f aca="false">AVERAGE(C3:C272)</f>
        <v>32.8948148148148</v>
      </c>
      <c r="C276" s="13"/>
      <c r="D276" s="13"/>
      <c r="E276" s="14" t="n">
        <f aca="false">AVERAGE(C3:C272)</f>
        <v>32.8948148148148</v>
      </c>
      <c r="F276" s="14"/>
    </row>
    <row r="277" customFormat="false" ht="23.25" hidden="false" customHeight="true" outlineLevel="0" collapsed="false">
      <c r="A277" s="15" t="s">
        <v>281</v>
      </c>
      <c r="B277" s="16" t="n">
        <f aca="false">MEDIAN(C3:C272)</f>
        <v>33.2</v>
      </c>
      <c r="C277" s="16"/>
      <c r="D277" s="16"/>
      <c r="E277" s="14" t="n">
        <f aca="false">MEDIAN(C3:C272)</f>
        <v>33.2</v>
      </c>
      <c r="F277" s="14"/>
    </row>
    <row r="278" customFormat="false" ht="57" hidden="false" customHeight="true" outlineLevel="0" collapsed="false">
      <c r="A278" s="12" t="s">
        <v>282</v>
      </c>
      <c r="B278" s="13" t="n">
        <f aca="false">STDEV(C3:C272)</f>
        <v>6.43690357708939</v>
      </c>
      <c r="C278" s="13"/>
      <c r="D278" s="13"/>
      <c r="E278" s="14" t="n">
        <f aca="false">STDEV(C3:C272)</f>
        <v>6.43690357708939</v>
      </c>
      <c r="F278" s="14"/>
    </row>
    <row r="279" customFormat="false" ht="23.25" hidden="false" customHeight="true" outlineLevel="0" collapsed="false">
      <c r="A279" s="15" t="s">
        <v>283</v>
      </c>
      <c r="B279" s="16" t="n">
        <f aca="false">MIN(C3:C272)</f>
        <v>20</v>
      </c>
      <c r="C279" s="16"/>
      <c r="D279" s="16"/>
      <c r="E279" s="17" t="n">
        <f aca="false">MIN(C3:C272)</f>
        <v>20</v>
      </c>
      <c r="F279" s="17"/>
    </row>
    <row r="280" customFormat="false" ht="23.25" hidden="false" customHeight="true" outlineLevel="0" collapsed="false">
      <c r="A280" s="12" t="s">
        <v>284</v>
      </c>
      <c r="B280" s="13" t="n">
        <f aca="false">MAX(C3:C272)</f>
        <v>50</v>
      </c>
      <c r="C280" s="13"/>
      <c r="D280" s="13"/>
      <c r="E280" s="17" t="n">
        <f aca="false">MAX(C3:C272)</f>
        <v>50</v>
      </c>
      <c r="F280" s="17"/>
    </row>
    <row r="282" customFormat="false" ht="15" hidden="false" customHeight="true" outlineLevel="0" collapsed="false">
      <c r="A282" s="18" t="s">
        <v>285</v>
      </c>
      <c r="B282" s="18"/>
      <c r="C282" s="18"/>
      <c r="D282" s="18"/>
      <c r="E282" s="18"/>
      <c r="F282" s="18"/>
    </row>
    <row r="283" customFormat="false" ht="37.5" hidden="false" customHeight="true" outlineLevel="0" collapsed="false">
      <c r="A283" s="19" t="s">
        <v>286</v>
      </c>
      <c r="B283" s="19"/>
      <c r="C283" s="19"/>
      <c r="D283" s="19"/>
      <c r="E283" s="19"/>
      <c r="F283" s="19"/>
    </row>
    <row r="284" customFormat="false" ht="37.5" hidden="false" customHeight="true" outlineLevel="0" collapsed="false">
      <c r="A284" s="19" t="s">
        <v>287</v>
      </c>
      <c r="B284" s="19"/>
      <c r="C284" s="19"/>
      <c r="D284" s="19"/>
      <c r="E284" s="19"/>
      <c r="F284" s="19"/>
    </row>
    <row r="285" customFormat="false" ht="37.5" hidden="false" customHeight="true" outlineLevel="0" collapsed="false">
      <c r="A285" s="19" t="s">
        <v>288</v>
      </c>
      <c r="B285" s="19"/>
      <c r="C285" s="19"/>
      <c r="D285" s="19"/>
      <c r="E285" s="19"/>
      <c r="F285" s="19"/>
    </row>
    <row r="287" customFormat="false" ht="15" hidden="false" customHeight="true" outlineLevel="0" collapsed="false">
      <c r="A287" s="10" t="s">
        <v>289</v>
      </c>
      <c r="B287" s="10"/>
      <c r="C287" s="10"/>
      <c r="D287" s="10"/>
      <c r="E287" s="10"/>
      <c r="F287" s="10"/>
    </row>
    <row r="288" customFormat="false" ht="15" hidden="false" customHeight="true" outlineLevel="0" collapsed="false">
      <c r="A288" s="11" t="s">
        <v>290</v>
      </c>
      <c r="B288" s="11" t="s">
        <v>291</v>
      </c>
      <c r="C288" s="11" t="s">
        <v>278</v>
      </c>
      <c r="D288" s="11"/>
      <c r="E288" s="11"/>
      <c r="F288" s="11" t="s">
        <v>292</v>
      </c>
    </row>
    <row r="289" customFormat="false" ht="15" hidden="false" customHeight="true" outlineLevel="0" collapsed="false">
      <c r="A289" s="12" t="s">
        <v>293</v>
      </c>
      <c r="B289" s="20" t="s">
        <v>294</v>
      </c>
      <c r="C289" s="13" t="n">
        <f aca="false">COUNTIFS(C3:C272,"&gt;=20",C3:C272,"&lt;25")</f>
        <v>33</v>
      </c>
      <c r="D289" s="13"/>
      <c r="E289" s="13"/>
      <c r="F289" s="21" t="n">
        <f aca="false">COUNTIFS(C3:C272,"&gt;=20",C3:C272,"&lt;25")</f>
        <v>33</v>
      </c>
    </row>
    <row r="290" customFormat="false" ht="15" hidden="false" customHeight="true" outlineLevel="0" collapsed="false">
      <c r="A290" s="15" t="s">
        <v>295</v>
      </c>
      <c r="B290" s="22" t="s">
        <v>296</v>
      </c>
      <c r="C290" s="16" t="n">
        <f aca="false">COUNTIFS(C3:C272,"&gt;=25",C3:C272,"&lt;30")</f>
        <v>61</v>
      </c>
      <c r="D290" s="16"/>
      <c r="E290" s="16"/>
      <c r="F290" s="21" t="n">
        <f aca="false">COUNTIFS(C3:C272,"&gt;=25",C3:C272,"&lt;30")</f>
        <v>61</v>
      </c>
    </row>
    <row r="291" customFormat="false" ht="15" hidden="false" customHeight="true" outlineLevel="0" collapsed="false">
      <c r="A291" s="12" t="s">
        <v>297</v>
      </c>
      <c r="B291" s="20" t="s">
        <v>298</v>
      </c>
      <c r="C291" s="13" t="n">
        <f aca="false">COUNTIFS(C3:C272,"&gt;=30",C3:C272,"&lt;35")</f>
        <v>72</v>
      </c>
      <c r="D291" s="13"/>
      <c r="E291" s="13"/>
      <c r="F291" s="21" t="n">
        <f aca="false">COUNTIFS(C3:C272,"&gt;=30",C3:C272,"&lt;35")</f>
        <v>72</v>
      </c>
    </row>
    <row r="292" customFormat="false" ht="15" hidden="false" customHeight="true" outlineLevel="0" collapsed="false">
      <c r="A292" s="15" t="s">
        <v>299</v>
      </c>
      <c r="B292" s="22" t="s">
        <v>300</v>
      </c>
      <c r="C292" s="16" t="n">
        <f aca="false">COUNTIFS(C3:C272,"&gt;=35",C3:C272,"&lt;40")</f>
        <v>70</v>
      </c>
      <c r="D292" s="16"/>
      <c r="E292" s="16"/>
      <c r="F292" s="21" t="n">
        <f aca="false">COUNTIFS(C3:C272,"&gt;=35",C3:C272,"&lt;40")</f>
        <v>70</v>
      </c>
    </row>
    <row r="293" customFormat="false" ht="15" hidden="false" customHeight="true" outlineLevel="0" collapsed="false">
      <c r="A293" s="12" t="s">
        <v>301</v>
      </c>
      <c r="B293" s="20" t="s">
        <v>302</v>
      </c>
      <c r="C293" s="13" t="n">
        <f aca="false">COUNTIFS(C3:C272,"&gt;=40",C3:C272,"&lt;45")</f>
        <v>23</v>
      </c>
      <c r="D293" s="13"/>
      <c r="E293" s="13"/>
      <c r="F293" s="21" t="n">
        <f aca="false">COUNTIFS(C3:C272,"&gt;=40",C3:C272,"&lt;45")</f>
        <v>23</v>
      </c>
    </row>
    <row r="294" customFormat="false" ht="15" hidden="false" customHeight="true" outlineLevel="0" collapsed="false">
      <c r="A294" s="15" t="s">
        <v>303</v>
      </c>
      <c r="B294" s="22" t="s">
        <v>304</v>
      </c>
      <c r="C294" s="16" t="n">
        <f aca="false">COUNTIFS(C3:C272,"&gt;=45",C3:C272,"&lt;=50")</f>
        <v>11</v>
      </c>
      <c r="D294" s="16"/>
      <c r="E294" s="16"/>
      <c r="F294" s="21" t="n">
        <f aca="false">COUNTIFS(C3:C272,"&gt;=45",C3:C272,"&lt;=50")</f>
        <v>11</v>
      </c>
    </row>
    <row r="295" customFormat="false" ht="23.25" hidden="false" customHeight="true" outlineLevel="0" collapsed="false">
      <c r="A295" s="23" t="s">
        <v>305</v>
      </c>
      <c r="B295" s="24" t="s">
        <v>306</v>
      </c>
      <c r="C295" s="24"/>
      <c r="D295" s="24"/>
      <c r="E295" s="24"/>
      <c r="F295" s="25" t="n">
        <f aca="false">F289+F290+F291+F292+F293+F294</f>
        <v>270</v>
      </c>
    </row>
    <row r="297" customFormat="false" ht="15" hidden="false" customHeight="true" outlineLevel="0" collapsed="false">
      <c r="A297" s="18" t="s">
        <v>307</v>
      </c>
      <c r="B297" s="18"/>
      <c r="C297" s="18"/>
      <c r="D297" s="18"/>
      <c r="E297" s="18"/>
      <c r="F297" s="18"/>
    </row>
    <row r="298" customFormat="false" ht="37.5" hidden="false" customHeight="true" outlineLevel="0" collapsed="false">
      <c r="A298" s="19" t="s">
        <v>308</v>
      </c>
      <c r="B298" s="19"/>
      <c r="C298" s="19"/>
      <c r="D298" s="19"/>
      <c r="E298" s="19"/>
      <c r="F298" s="19"/>
    </row>
    <row r="299" customFormat="false" ht="37.5" hidden="false" customHeight="true" outlineLevel="0" collapsed="false">
      <c r="A299" s="19" t="s">
        <v>309</v>
      </c>
      <c r="B299" s="19"/>
      <c r="C299" s="19"/>
      <c r="D299" s="19"/>
      <c r="E299" s="19"/>
      <c r="F299" s="19"/>
    </row>
    <row r="301" customFormat="false" ht="15" hidden="false" customHeight="true" outlineLevel="0" collapsed="false">
      <c r="A301" s="10" t="s">
        <v>310</v>
      </c>
      <c r="B301" s="10"/>
      <c r="C301" s="10"/>
      <c r="D301" s="10"/>
      <c r="E301" s="10"/>
      <c r="F301" s="10"/>
    </row>
    <row r="302" customFormat="false" ht="26.25" hidden="false" customHeight="true" outlineLevel="0" collapsed="false">
      <c r="A302" s="11" t="s">
        <v>311</v>
      </c>
      <c r="B302" s="11" t="s">
        <v>312</v>
      </c>
      <c r="C302" s="11"/>
      <c r="D302" s="11" t="s">
        <v>313</v>
      </c>
      <c r="E302" s="11"/>
      <c r="F302" s="11" t="s">
        <v>314</v>
      </c>
    </row>
    <row r="303" customFormat="false" ht="15" hidden="false" customHeight="true" outlineLevel="0" collapsed="false">
      <c r="A303" s="12" t="s">
        <v>315</v>
      </c>
      <c r="B303" s="12" t="s">
        <v>316</v>
      </c>
      <c r="C303" s="12"/>
      <c r="D303" s="26" t="n">
        <f aca="false">E276</f>
        <v>32.8948148148148</v>
      </c>
      <c r="E303" s="26"/>
      <c r="F303" s="14" t="n">
        <f aca="false">E276</f>
        <v>32.8948148148148</v>
      </c>
    </row>
    <row r="304" customFormat="false" ht="15" hidden="false" customHeight="true" outlineLevel="0" collapsed="false">
      <c r="A304" s="15" t="s">
        <v>317</v>
      </c>
      <c r="B304" s="15" t="s">
        <v>318</v>
      </c>
      <c r="C304" s="15"/>
      <c r="D304" s="27" t="n">
        <f aca="false">E278</f>
        <v>6.43690357708939</v>
      </c>
      <c r="E304" s="27"/>
      <c r="F304" s="14" t="n">
        <f aca="false">E278</f>
        <v>6.43690357708939</v>
      </c>
    </row>
    <row r="305" customFormat="false" ht="15" hidden="false" customHeight="true" outlineLevel="0" collapsed="false">
      <c r="A305" s="12" t="s">
        <v>319</v>
      </c>
      <c r="B305" s="12" t="s">
        <v>320</v>
      </c>
      <c r="C305" s="12"/>
      <c r="D305" s="13" t="n">
        <f aca="false">NORMDIST(42,E276,E278,1)</f>
        <v>0.921396644270121</v>
      </c>
      <c r="E305" s="13"/>
      <c r="F305" s="28" t="n">
        <f aca="false">NORMDIST(42,E276,E278,1)</f>
        <v>0.921396644270121</v>
      </c>
    </row>
    <row r="306" customFormat="false" ht="15" hidden="false" customHeight="true" outlineLevel="0" collapsed="false">
      <c r="A306" s="15" t="s">
        <v>321</v>
      </c>
      <c r="B306" s="15" t="s">
        <v>322</v>
      </c>
      <c r="C306" s="15"/>
      <c r="D306" s="16" t="n">
        <f aca="false">NORMDIST(28,E276,E278,1)</f>
        <v>0.223498787735782</v>
      </c>
      <c r="E306" s="16"/>
      <c r="F306" s="28" t="n">
        <f aca="false">NORMDIST(28,E276,E278,1)</f>
        <v>0.223498787735782</v>
      </c>
    </row>
    <row r="307" customFormat="false" ht="23.25" hidden="false" customHeight="true" outlineLevel="0" collapsed="false">
      <c r="A307" s="12" t="s">
        <v>323</v>
      </c>
      <c r="B307" s="12" t="s">
        <v>324</v>
      </c>
      <c r="C307" s="12"/>
      <c r="D307" s="13" t="n">
        <f aca="false">F305-F306</f>
        <v>0.697897856534339</v>
      </c>
      <c r="E307" s="13"/>
      <c r="F307" s="28" t="n">
        <f aca="false">F305-F306</f>
        <v>0.697897856534339</v>
      </c>
    </row>
    <row r="308" customFormat="false" ht="15" hidden="false" customHeight="true" outlineLevel="0" collapsed="false">
      <c r="A308" s="15" t="s">
        <v>325</v>
      </c>
      <c r="B308" s="15" t="s">
        <v>326</v>
      </c>
      <c r="C308" s="15"/>
      <c r="D308" s="29" t="n">
        <f aca="false">F307</f>
        <v>0.697897856534339</v>
      </c>
      <c r="E308" s="29"/>
      <c r="F308" s="30" t="n">
        <f aca="false">F307</f>
        <v>0.697897856534339</v>
      </c>
    </row>
    <row r="310" customFormat="false" ht="15" hidden="false" customHeight="true" outlineLevel="0" collapsed="false">
      <c r="A310" s="18" t="s">
        <v>327</v>
      </c>
      <c r="B310" s="18"/>
      <c r="C310" s="18"/>
      <c r="D310" s="18"/>
      <c r="E310" s="18"/>
      <c r="F310" s="18"/>
    </row>
    <row r="311" customFormat="false" ht="37.5" hidden="false" customHeight="true" outlineLevel="0" collapsed="false">
      <c r="A311" s="19" t="s">
        <v>328</v>
      </c>
      <c r="B311" s="19"/>
      <c r="C311" s="19"/>
      <c r="D311" s="19"/>
      <c r="E311" s="19"/>
      <c r="F311" s="19"/>
    </row>
    <row r="312" customFormat="false" ht="37.5" hidden="false" customHeight="true" outlineLevel="0" collapsed="false">
      <c r="A312" s="19" t="s">
        <v>329</v>
      </c>
      <c r="B312" s="19"/>
      <c r="C312" s="19"/>
      <c r="D312" s="19"/>
      <c r="E312" s="19"/>
      <c r="F312" s="19"/>
    </row>
  </sheetData>
  <mergeCells count="48">
    <mergeCell ref="A1:F1"/>
    <mergeCell ref="A274:F274"/>
    <mergeCell ref="B275:D275"/>
    <mergeCell ref="E275:F275"/>
    <mergeCell ref="B276:D276"/>
    <mergeCell ref="E276:F276"/>
    <mergeCell ref="B277:D277"/>
    <mergeCell ref="E277:F277"/>
    <mergeCell ref="B278:D278"/>
    <mergeCell ref="E278:F278"/>
    <mergeCell ref="B279:D279"/>
    <mergeCell ref="E279:F279"/>
    <mergeCell ref="B280:D280"/>
    <mergeCell ref="E280:F280"/>
    <mergeCell ref="A282:F282"/>
    <mergeCell ref="A283:F283"/>
    <mergeCell ref="A284:F284"/>
    <mergeCell ref="A285:F285"/>
    <mergeCell ref="A287:F287"/>
    <mergeCell ref="C288:E288"/>
    <mergeCell ref="C289:E289"/>
    <mergeCell ref="C290:E290"/>
    <mergeCell ref="C291:E291"/>
    <mergeCell ref="C292:E292"/>
    <mergeCell ref="C293:E293"/>
    <mergeCell ref="C294:E294"/>
    <mergeCell ref="B295:E295"/>
    <mergeCell ref="A297:F297"/>
    <mergeCell ref="A298:F298"/>
    <mergeCell ref="A299:F299"/>
    <mergeCell ref="A301:F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A310:F310"/>
    <mergeCell ref="A311:F311"/>
    <mergeCell ref="A312:F3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8"/>
    <col collapsed="false" customWidth="true" hidden="false" outlineLevel="0" max="5" min="5" style="1" width="30"/>
  </cols>
  <sheetData>
    <row r="1" customFormat="false" ht="15.75" hidden="false" customHeight="true" outlineLevel="0" collapsed="false">
      <c r="A1" s="2" t="s">
        <v>330</v>
      </c>
      <c r="B1" s="2"/>
      <c r="C1" s="2"/>
      <c r="D1" s="2"/>
      <c r="E1" s="2"/>
    </row>
    <row r="3" customFormat="false" ht="15" hidden="false" customHeight="true" outlineLevel="0" collapsed="false">
      <c r="A3" s="10" t="s">
        <v>331</v>
      </c>
      <c r="B3" s="10"/>
      <c r="C3" s="10"/>
      <c r="D3" s="10"/>
      <c r="E3" s="10"/>
    </row>
    <row r="4" customFormat="false" ht="15" hidden="false" customHeight="true" outlineLevel="0" collapsed="false">
      <c r="A4" s="11" t="s">
        <v>332</v>
      </c>
      <c r="B4" s="11" t="s">
        <v>333</v>
      </c>
      <c r="C4" s="11"/>
      <c r="D4" s="11" t="s">
        <v>334</v>
      </c>
      <c r="E4" s="11"/>
    </row>
    <row r="5" customFormat="false" ht="15" hidden="false" customHeight="true" outlineLevel="0" collapsed="false">
      <c r="A5" s="12" t="s">
        <v>335</v>
      </c>
      <c r="B5" s="31" t="s">
        <v>336</v>
      </c>
      <c r="C5" s="31"/>
      <c r="D5" s="20" t="s">
        <v>337</v>
      </c>
      <c r="E5" s="20"/>
    </row>
    <row r="6" customFormat="false" ht="15" hidden="false" customHeight="true" outlineLevel="0" collapsed="false">
      <c r="A6" s="15" t="s">
        <v>338</v>
      </c>
      <c r="B6" s="32" t="s">
        <v>339</v>
      </c>
      <c r="C6" s="32"/>
      <c r="D6" s="22" t="s">
        <v>340</v>
      </c>
      <c r="E6" s="22"/>
    </row>
    <row r="7" customFormat="false" ht="23.25" hidden="false" customHeight="true" outlineLevel="0" collapsed="false">
      <c r="A7" s="12" t="s">
        <v>341</v>
      </c>
      <c r="B7" s="31" t="s">
        <v>342</v>
      </c>
      <c r="C7" s="31"/>
      <c r="D7" s="20" t="s">
        <v>343</v>
      </c>
      <c r="E7" s="20"/>
    </row>
    <row r="8" customFormat="false" ht="15" hidden="false" customHeight="true" outlineLevel="0" collapsed="false">
      <c r="A8" s="15" t="s">
        <v>344</v>
      </c>
      <c r="B8" s="32" t="s">
        <v>345</v>
      </c>
      <c r="C8" s="32"/>
      <c r="D8" s="22" t="s">
        <v>346</v>
      </c>
      <c r="E8" s="22"/>
    </row>
    <row r="10" customFormat="false" ht="15" hidden="false" customHeight="true" outlineLevel="0" collapsed="false">
      <c r="A10" s="10" t="s">
        <v>347</v>
      </c>
      <c r="B10" s="10"/>
      <c r="C10" s="10"/>
      <c r="D10" s="10"/>
      <c r="E10" s="10"/>
    </row>
    <row r="11" customFormat="false" ht="15" hidden="false" customHeight="true" outlineLevel="0" collapsed="false">
      <c r="A11" s="11" t="s">
        <v>348</v>
      </c>
      <c r="B11" s="11"/>
      <c r="C11" s="11" t="s">
        <v>314</v>
      </c>
      <c r="D11" s="11" t="s">
        <v>349</v>
      </c>
      <c r="E11" s="11"/>
    </row>
    <row r="12" customFormat="false" ht="15" hidden="false" customHeight="true" outlineLevel="0" collapsed="false">
      <c r="A12" s="12" t="s">
        <v>350</v>
      </c>
      <c r="B12" s="12"/>
      <c r="C12" s="33" t="n">
        <v>68.5</v>
      </c>
      <c r="D12" s="20" t="s">
        <v>351</v>
      </c>
      <c r="E12" s="20"/>
    </row>
    <row r="13" customFormat="false" ht="15" hidden="false" customHeight="true" outlineLevel="0" collapsed="false">
      <c r="A13" s="15" t="s">
        <v>352</v>
      </c>
      <c r="B13" s="15"/>
      <c r="C13" s="33" t="n">
        <v>70</v>
      </c>
      <c r="D13" s="22" t="s">
        <v>353</v>
      </c>
      <c r="E13" s="22"/>
    </row>
    <row r="14" customFormat="false" ht="15" hidden="false" customHeight="true" outlineLevel="0" collapsed="false">
      <c r="A14" s="12" t="s">
        <v>354</v>
      </c>
      <c r="B14" s="12"/>
      <c r="C14" s="33" t="n">
        <v>8.2</v>
      </c>
      <c r="D14" s="20" t="s">
        <v>351</v>
      </c>
      <c r="E14" s="20"/>
    </row>
    <row r="15" customFormat="false" ht="15" hidden="false" customHeight="true" outlineLevel="0" collapsed="false">
      <c r="A15" s="15" t="s">
        <v>355</v>
      </c>
      <c r="B15" s="15"/>
      <c r="C15" s="33" t="n">
        <v>180</v>
      </c>
      <c r="D15" s="22" t="s">
        <v>356</v>
      </c>
      <c r="E15" s="22"/>
    </row>
    <row r="17" customFormat="false" ht="15" hidden="false" customHeight="true" outlineLevel="0" collapsed="false">
      <c r="A17" s="11" t="s">
        <v>357</v>
      </c>
      <c r="B17" s="11"/>
      <c r="C17" s="11" t="s">
        <v>278</v>
      </c>
      <c r="D17" s="11"/>
      <c r="E17" s="11" t="s">
        <v>279</v>
      </c>
    </row>
    <row r="18" customFormat="false" ht="15" hidden="false" customHeight="true" outlineLevel="0" collapsed="false">
      <c r="A18" s="12" t="s">
        <v>358</v>
      </c>
      <c r="B18" s="12"/>
      <c r="C18" s="13" t="n">
        <f aca="false">C14/SQRT(C15)</f>
        <v>0.611191913849942</v>
      </c>
      <c r="D18" s="13"/>
      <c r="E18" s="28" t="n">
        <f aca="false">C14/SQRT(C15)</f>
        <v>0.611191913849942</v>
      </c>
    </row>
    <row r="19" customFormat="false" ht="15" hidden="false" customHeight="true" outlineLevel="0" collapsed="false">
      <c r="A19" s="15" t="s">
        <v>359</v>
      </c>
      <c r="B19" s="15"/>
      <c r="C19" s="16" t="n">
        <f aca="false">(C12-C13)/(C14/SQRT(C15))</f>
        <v>-2.4542209509144</v>
      </c>
      <c r="D19" s="16"/>
      <c r="E19" s="28" t="n">
        <f aca="false">(C12-C13)/(C14/SQRT(C15))</f>
        <v>-2.4542209509144</v>
      </c>
    </row>
    <row r="20" customFormat="false" ht="15" hidden="false" customHeight="true" outlineLevel="0" collapsed="false">
      <c r="A20" s="12" t="s">
        <v>360</v>
      </c>
      <c r="B20" s="12"/>
      <c r="C20" s="13" t="n">
        <f aca="false">C15-1</f>
        <v>179</v>
      </c>
      <c r="D20" s="13"/>
      <c r="E20" s="34" t="n">
        <f aca="false">C15-1</f>
        <v>179</v>
      </c>
    </row>
    <row r="21" customFormat="false" ht="15" hidden="false" customHeight="true" outlineLevel="0" collapsed="false">
      <c r="A21" s="15" t="s">
        <v>361</v>
      </c>
      <c r="B21" s="15"/>
      <c r="C21" s="16" t="n">
        <f aca="false">TDIST(ABS(E19),E20,2)</f>
        <v>0.0150756873008075</v>
      </c>
      <c r="D21" s="16"/>
      <c r="E21" s="35" t="n">
        <f aca="false">TDIST(ABS(E19),E20,2)</f>
        <v>0.0150756873008075</v>
      </c>
    </row>
    <row r="23" customFormat="false" ht="15" hidden="false" customHeight="true" outlineLevel="0" collapsed="false">
      <c r="A23" s="10" t="s">
        <v>362</v>
      </c>
      <c r="B23" s="10"/>
      <c r="C23" s="10"/>
      <c r="D23" s="10"/>
      <c r="E23" s="10"/>
    </row>
    <row r="24" customFormat="false" ht="15" hidden="false" customHeight="true" outlineLevel="0" collapsed="false">
      <c r="A24" s="15" t="s">
        <v>363</v>
      </c>
      <c r="B24" s="36" t="str">
        <f aca="false">IF(E21&lt;0.05,"REJECT H₀  (p = "&amp;TEXT(E21,"0.0000")&amp;" &lt; 0.05)","FAIL TO REJECT H₀")</f>
        <v>REJECT H₀  (p = 0.0151 &lt; 0.05)</v>
      </c>
      <c r="C24" s="36"/>
      <c r="D24" s="36"/>
      <c r="E24" s="36"/>
    </row>
    <row r="26" customFormat="false" ht="15" hidden="false" customHeight="true" outlineLevel="0" collapsed="false">
      <c r="A26" s="18" t="s">
        <v>364</v>
      </c>
      <c r="B26" s="18"/>
      <c r="C26" s="18"/>
      <c r="D26" s="18"/>
      <c r="E26" s="18"/>
    </row>
    <row r="27" customFormat="false" ht="37.5" hidden="false" customHeight="true" outlineLevel="0" collapsed="false">
      <c r="A27" s="19" t="s">
        <v>365</v>
      </c>
      <c r="B27" s="19"/>
      <c r="C27" s="19"/>
      <c r="D27" s="19"/>
      <c r="E27" s="19"/>
    </row>
    <row r="28" customFormat="false" ht="37.5" hidden="false" customHeight="true" outlineLevel="0" collapsed="false">
      <c r="A28" s="19" t="s">
        <v>366</v>
      </c>
      <c r="B28" s="19"/>
      <c r="C28" s="19"/>
      <c r="D28" s="19"/>
      <c r="E28" s="19"/>
    </row>
    <row r="30" customFormat="false" ht="15" hidden="false" customHeight="true" outlineLevel="0" collapsed="false">
      <c r="A30" s="18" t="s">
        <v>367</v>
      </c>
      <c r="B30" s="18"/>
      <c r="C30" s="18"/>
      <c r="D30" s="18"/>
      <c r="E30" s="18"/>
    </row>
    <row r="31" customFormat="false" ht="42" hidden="false" customHeight="true" outlineLevel="0" collapsed="false">
      <c r="A31" s="19" t="s">
        <v>368</v>
      </c>
      <c r="B31" s="19"/>
      <c r="C31" s="19"/>
      <c r="D31" s="19"/>
      <c r="E31" s="19"/>
    </row>
    <row r="32" customFormat="false" ht="42" hidden="false" customHeight="true" outlineLevel="0" collapsed="false">
      <c r="A32" s="19" t="s">
        <v>369</v>
      </c>
      <c r="B32" s="19"/>
      <c r="C32" s="19"/>
      <c r="D32" s="19"/>
      <c r="E32" s="19"/>
    </row>
    <row r="33" customFormat="false" ht="42" hidden="false" customHeight="true" outlineLevel="0" collapsed="false">
      <c r="A33" s="19" t="s">
        <v>370</v>
      </c>
      <c r="B33" s="19"/>
      <c r="C33" s="19"/>
      <c r="D33" s="19"/>
      <c r="E33" s="19"/>
    </row>
  </sheetData>
  <mergeCells count="42">
    <mergeCell ref="A1:E1"/>
    <mergeCell ref="A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A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D15:E15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3:E23"/>
    <mergeCell ref="B24:E24"/>
    <mergeCell ref="A26:E26"/>
    <mergeCell ref="A27:E27"/>
    <mergeCell ref="A28:E28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44"/>
    <col collapsed="false" customWidth="true" hidden="false" outlineLevel="0" max="6" min="5" style="1" width="18"/>
    <col collapsed="false" customWidth="true" hidden="false" outlineLevel="0" max="7" min="7" style="1" width="16"/>
  </cols>
  <sheetData>
    <row r="1" customFormat="false" ht="15.75" hidden="false" customHeight="true" outlineLevel="0" collapsed="false">
      <c r="A1" s="2" t="s">
        <v>371</v>
      </c>
      <c r="B1" s="2"/>
      <c r="C1" s="2"/>
      <c r="D1" s="2"/>
      <c r="E1" s="2"/>
      <c r="F1" s="2"/>
      <c r="G1" s="2"/>
    </row>
    <row r="2" customFormat="false" ht="26.25" hidden="false" customHeight="true" outlineLevel="0" collapsed="false">
      <c r="A2" s="18" t="s">
        <v>372</v>
      </c>
      <c r="B2" s="18" t="s">
        <v>373</v>
      </c>
      <c r="C2" s="18" t="s">
        <v>374</v>
      </c>
    </row>
    <row r="3" customFormat="false" ht="15" hidden="false" customHeight="true" outlineLevel="0" collapsed="false">
      <c r="A3" s="37" t="s">
        <v>375</v>
      </c>
      <c r="B3" s="4" t="s">
        <v>376</v>
      </c>
      <c r="C3" s="5" t="n">
        <v>69.7</v>
      </c>
    </row>
    <row r="4" customFormat="false" ht="15" hidden="false" customHeight="true" outlineLevel="0" collapsed="false">
      <c r="A4" s="38" t="s">
        <v>377</v>
      </c>
      <c r="B4" s="7" t="s">
        <v>376</v>
      </c>
      <c r="C4" s="8" t="n">
        <v>88.5</v>
      </c>
    </row>
    <row r="5" customFormat="false" ht="15" hidden="false" customHeight="true" outlineLevel="0" collapsed="false">
      <c r="A5" s="37" t="s">
        <v>378</v>
      </c>
      <c r="B5" s="4" t="s">
        <v>379</v>
      </c>
      <c r="C5" s="5" t="n">
        <v>53.7</v>
      </c>
    </row>
    <row r="6" customFormat="false" ht="15" hidden="false" customHeight="true" outlineLevel="0" collapsed="false">
      <c r="A6" s="38" t="s">
        <v>380</v>
      </c>
      <c r="B6" s="7" t="s">
        <v>376</v>
      </c>
      <c r="C6" s="8" t="n">
        <v>65.2</v>
      </c>
    </row>
    <row r="7" customFormat="false" ht="15" hidden="false" customHeight="true" outlineLevel="0" collapsed="false">
      <c r="A7" s="37" t="s">
        <v>381</v>
      </c>
      <c r="B7" s="4" t="s">
        <v>379</v>
      </c>
      <c r="C7" s="5" t="n">
        <v>53.4</v>
      </c>
    </row>
    <row r="8" customFormat="false" ht="15" hidden="false" customHeight="true" outlineLevel="0" collapsed="false">
      <c r="A8" s="38" t="s">
        <v>382</v>
      </c>
      <c r="B8" s="7" t="s">
        <v>379</v>
      </c>
      <c r="C8" s="8" t="n">
        <v>97.1</v>
      </c>
    </row>
    <row r="9" customFormat="false" ht="15" hidden="false" customHeight="true" outlineLevel="0" collapsed="false">
      <c r="A9" s="37" t="s">
        <v>383</v>
      </c>
      <c r="B9" s="4" t="s">
        <v>376</v>
      </c>
      <c r="C9" s="5" t="n">
        <v>78.9</v>
      </c>
    </row>
    <row r="10" customFormat="false" ht="15" hidden="false" customHeight="true" outlineLevel="0" collapsed="false">
      <c r="A10" s="38" t="s">
        <v>384</v>
      </c>
      <c r="B10" s="7" t="s">
        <v>379</v>
      </c>
      <c r="C10" s="8" t="n">
        <v>71.2</v>
      </c>
    </row>
    <row r="11" customFormat="false" ht="15" hidden="false" customHeight="true" outlineLevel="0" collapsed="false">
      <c r="A11" s="37" t="s">
        <v>385</v>
      </c>
      <c r="B11" s="4" t="s">
        <v>376</v>
      </c>
      <c r="C11" s="5" t="n">
        <v>75.3</v>
      </c>
    </row>
    <row r="12" customFormat="false" ht="15" hidden="false" customHeight="true" outlineLevel="0" collapsed="false">
      <c r="A12" s="38" t="s">
        <v>386</v>
      </c>
      <c r="B12" s="7" t="s">
        <v>379</v>
      </c>
      <c r="C12" s="8" t="n">
        <v>79.6</v>
      </c>
    </row>
    <row r="13" customFormat="false" ht="15" hidden="false" customHeight="true" outlineLevel="0" collapsed="false">
      <c r="A13" s="37" t="s">
        <v>387</v>
      </c>
      <c r="B13" s="4" t="s">
        <v>379</v>
      </c>
      <c r="C13" s="5" t="n">
        <v>61.9</v>
      </c>
    </row>
    <row r="14" customFormat="false" ht="15" hidden="false" customHeight="true" outlineLevel="0" collapsed="false">
      <c r="A14" s="38" t="s">
        <v>388</v>
      </c>
      <c r="B14" s="7" t="s">
        <v>376</v>
      </c>
      <c r="C14" s="8" t="n">
        <v>73.7</v>
      </c>
    </row>
    <row r="15" customFormat="false" ht="15" hidden="false" customHeight="true" outlineLevel="0" collapsed="false">
      <c r="A15" s="37" t="s">
        <v>389</v>
      </c>
      <c r="B15" s="4" t="s">
        <v>379</v>
      </c>
      <c r="C15" s="5" t="n">
        <v>64.3</v>
      </c>
    </row>
    <row r="16" customFormat="false" ht="15" hidden="false" customHeight="true" outlineLevel="0" collapsed="false">
      <c r="A16" s="38" t="s">
        <v>390</v>
      </c>
      <c r="B16" s="7" t="s">
        <v>379</v>
      </c>
      <c r="C16" s="8" t="n">
        <v>81.1</v>
      </c>
    </row>
    <row r="17" customFormat="false" ht="15" hidden="false" customHeight="true" outlineLevel="0" collapsed="false">
      <c r="A17" s="37" t="s">
        <v>391</v>
      </c>
      <c r="B17" s="4" t="s">
        <v>379</v>
      </c>
      <c r="C17" s="5" t="n">
        <v>80.1</v>
      </c>
    </row>
    <row r="18" customFormat="false" ht="15" hidden="false" customHeight="true" outlineLevel="0" collapsed="false">
      <c r="A18" s="38" t="s">
        <v>392</v>
      </c>
      <c r="B18" s="7" t="s">
        <v>379</v>
      </c>
      <c r="C18" s="8" t="n">
        <v>79.8</v>
      </c>
    </row>
    <row r="19" customFormat="false" ht="15" hidden="false" customHeight="true" outlineLevel="0" collapsed="false">
      <c r="A19" s="37" t="s">
        <v>393</v>
      </c>
      <c r="B19" s="4" t="s">
        <v>376</v>
      </c>
      <c r="C19" s="5" t="n">
        <v>71.8</v>
      </c>
    </row>
    <row r="20" customFormat="false" ht="15" hidden="false" customHeight="true" outlineLevel="0" collapsed="false">
      <c r="A20" s="38" t="s">
        <v>394</v>
      </c>
      <c r="B20" s="7" t="s">
        <v>376</v>
      </c>
      <c r="C20" s="8" t="n">
        <v>68.3</v>
      </c>
    </row>
    <row r="21" customFormat="false" ht="15" hidden="false" customHeight="true" outlineLevel="0" collapsed="false">
      <c r="A21" s="37" t="s">
        <v>395</v>
      </c>
      <c r="B21" s="4" t="s">
        <v>376</v>
      </c>
      <c r="C21" s="5" t="n">
        <v>61.2</v>
      </c>
    </row>
    <row r="22" customFormat="false" ht="15" hidden="false" customHeight="true" outlineLevel="0" collapsed="false">
      <c r="A22" s="38" t="s">
        <v>396</v>
      </c>
      <c r="B22" s="7" t="s">
        <v>376</v>
      </c>
      <c r="C22" s="8" t="n">
        <v>75.3</v>
      </c>
    </row>
    <row r="23" customFormat="false" ht="15" hidden="false" customHeight="true" outlineLevel="0" collapsed="false">
      <c r="A23" s="37" t="s">
        <v>397</v>
      </c>
      <c r="B23" s="4" t="s">
        <v>379</v>
      </c>
      <c r="C23" s="5" t="n">
        <v>91</v>
      </c>
    </row>
    <row r="24" customFormat="false" ht="15" hidden="false" customHeight="true" outlineLevel="0" collapsed="false">
      <c r="A24" s="38" t="s">
        <v>398</v>
      </c>
      <c r="B24" s="7" t="s">
        <v>379</v>
      </c>
      <c r="C24" s="8" t="n">
        <v>48.1</v>
      </c>
    </row>
    <row r="25" customFormat="false" ht="15" hidden="false" customHeight="true" outlineLevel="0" collapsed="false">
      <c r="A25" s="37" t="s">
        <v>399</v>
      </c>
      <c r="B25" s="4" t="s">
        <v>376</v>
      </c>
      <c r="C25" s="5" t="n">
        <v>62.2</v>
      </c>
    </row>
    <row r="26" customFormat="false" ht="15" hidden="false" customHeight="true" outlineLevel="0" collapsed="false">
      <c r="A26" s="38" t="s">
        <v>400</v>
      </c>
      <c r="B26" s="7" t="s">
        <v>376</v>
      </c>
      <c r="C26" s="8" t="n">
        <v>63.2</v>
      </c>
    </row>
    <row r="27" customFormat="false" ht="15" hidden="false" customHeight="true" outlineLevel="0" collapsed="false">
      <c r="A27" s="37" t="s">
        <v>401</v>
      </c>
      <c r="B27" s="4" t="s">
        <v>379</v>
      </c>
      <c r="C27" s="5" t="n">
        <v>72.4</v>
      </c>
    </row>
    <row r="28" customFormat="false" ht="15" hidden="false" customHeight="true" outlineLevel="0" collapsed="false">
      <c r="A28" s="38" t="s">
        <v>402</v>
      </c>
      <c r="B28" s="7" t="s">
        <v>376</v>
      </c>
      <c r="C28" s="8" t="n">
        <v>69.5</v>
      </c>
    </row>
    <row r="29" customFormat="false" ht="15" hidden="false" customHeight="true" outlineLevel="0" collapsed="false">
      <c r="A29" s="37" t="s">
        <v>403</v>
      </c>
      <c r="B29" s="4" t="s">
        <v>379</v>
      </c>
      <c r="C29" s="5" t="n">
        <v>54</v>
      </c>
    </row>
    <row r="30" customFormat="false" ht="15" hidden="false" customHeight="true" outlineLevel="0" collapsed="false">
      <c r="A30" s="38" t="s">
        <v>404</v>
      </c>
      <c r="B30" s="7" t="s">
        <v>376</v>
      </c>
      <c r="C30" s="8" t="n">
        <v>77</v>
      </c>
    </row>
    <row r="31" customFormat="false" ht="15" hidden="false" customHeight="true" outlineLevel="0" collapsed="false">
      <c r="A31" s="37" t="s">
        <v>405</v>
      </c>
      <c r="B31" s="4" t="s">
        <v>376</v>
      </c>
      <c r="C31" s="5" t="n">
        <v>73.1</v>
      </c>
    </row>
    <row r="32" customFormat="false" ht="15" hidden="false" customHeight="true" outlineLevel="0" collapsed="false">
      <c r="A32" s="38" t="s">
        <v>406</v>
      </c>
      <c r="B32" s="7" t="s">
        <v>379</v>
      </c>
      <c r="C32" s="8" t="n">
        <v>82.1</v>
      </c>
    </row>
    <row r="33" customFormat="false" ht="15" hidden="false" customHeight="true" outlineLevel="0" collapsed="false">
      <c r="A33" s="37" t="s">
        <v>407</v>
      </c>
      <c r="B33" s="4" t="s">
        <v>376</v>
      </c>
      <c r="C33" s="5" t="n">
        <v>59.1</v>
      </c>
    </row>
    <row r="34" customFormat="false" ht="15" hidden="false" customHeight="true" outlineLevel="0" collapsed="false">
      <c r="A34" s="38" t="s">
        <v>408</v>
      </c>
      <c r="B34" s="7" t="s">
        <v>379</v>
      </c>
      <c r="C34" s="8" t="n">
        <v>65.9</v>
      </c>
    </row>
    <row r="35" customFormat="false" ht="15" hidden="false" customHeight="true" outlineLevel="0" collapsed="false">
      <c r="A35" s="37" t="s">
        <v>409</v>
      </c>
      <c r="B35" s="4" t="s">
        <v>376</v>
      </c>
      <c r="C35" s="5" t="n">
        <v>82</v>
      </c>
    </row>
    <row r="36" customFormat="false" ht="15" hidden="false" customHeight="true" outlineLevel="0" collapsed="false">
      <c r="A36" s="38" t="s">
        <v>410</v>
      </c>
      <c r="B36" s="7" t="s">
        <v>379</v>
      </c>
      <c r="C36" s="8" t="n">
        <v>65.1</v>
      </c>
    </row>
    <row r="37" customFormat="false" ht="15" hidden="false" customHeight="true" outlineLevel="0" collapsed="false">
      <c r="A37" s="37" t="s">
        <v>411</v>
      </c>
      <c r="B37" s="4" t="s">
        <v>376</v>
      </c>
      <c r="C37" s="5" t="n">
        <v>74.1</v>
      </c>
    </row>
    <row r="38" customFormat="false" ht="15" hidden="false" customHeight="true" outlineLevel="0" collapsed="false">
      <c r="A38" s="38" t="s">
        <v>412</v>
      </c>
      <c r="B38" s="7" t="s">
        <v>379</v>
      </c>
      <c r="C38" s="8" t="n">
        <v>87.1</v>
      </c>
    </row>
    <row r="39" customFormat="false" ht="15" hidden="false" customHeight="true" outlineLevel="0" collapsed="false">
      <c r="A39" s="37" t="s">
        <v>413</v>
      </c>
      <c r="B39" s="4" t="s">
        <v>379</v>
      </c>
      <c r="C39" s="5" t="n">
        <v>67.7</v>
      </c>
    </row>
    <row r="40" customFormat="false" ht="15" hidden="false" customHeight="true" outlineLevel="0" collapsed="false">
      <c r="A40" s="38" t="s">
        <v>414</v>
      </c>
      <c r="B40" s="7" t="s">
        <v>376</v>
      </c>
      <c r="C40" s="8" t="n">
        <v>89.5</v>
      </c>
    </row>
    <row r="41" customFormat="false" ht="15" hidden="false" customHeight="true" outlineLevel="0" collapsed="false">
      <c r="A41" s="37" t="s">
        <v>415</v>
      </c>
      <c r="B41" s="4" t="s">
        <v>379</v>
      </c>
      <c r="C41" s="5" t="n">
        <v>68.8</v>
      </c>
    </row>
    <row r="42" customFormat="false" ht="15" hidden="false" customHeight="true" outlineLevel="0" collapsed="false">
      <c r="A42" s="38" t="s">
        <v>416</v>
      </c>
      <c r="B42" s="7" t="s">
        <v>379</v>
      </c>
      <c r="C42" s="8" t="n">
        <v>66.7</v>
      </c>
    </row>
    <row r="43" customFormat="false" ht="15" hidden="false" customHeight="true" outlineLevel="0" collapsed="false">
      <c r="A43" s="37" t="s">
        <v>417</v>
      </c>
      <c r="B43" s="4" t="s">
        <v>376</v>
      </c>
      <c r="C43" s="5" t="n">
        <v>97.6</v>
      </c>
    </row>
    <row r="44" customFormat="false" ht="15" hidden="false" customHeight="true" outlineLevel="0" collapsed="false">
      <c r="A44" s="38" t="s">
        <v>418</v>
      </c>
      <c r="B44" s="7" t="s">
        <v>379</v>
      </c>
      <c r="C44" s="8" t="n">
        <v>70.4</v>
      </c>
    </row>
    <row r="45" customFormat="false" ht="15" hidden="false" customHeight="true" outlineLevel="0" collapsed="false">
      <c r="A45" s="37" t="s">
        <v>419</v>
      </c>
      <c r="B45" s="4" t="s">
        <v>379</v>
      </c>
      <c r="C45" s="5" t="n">
        <v>59.8</v>
      </c>
    </row>
    <row r="46" customFormat="false" ht="15" hidden="false" customHeight="true" outlineLevel="0" collapsed="false">
      <c r="A46" s="38" t="s">
        <v>420</v>
      </c>
      <c r="B46" s="7" t="s">
        <v>379</v>
      </c>
      <c r="C46" s="8" t="n">
        <v>81.9</v>
      </c>
    </row>
    <row r="47" customFormat="false" ht="15" hidden="false" customHeight="true" outlineLevel="0" collapsed="false">
      <c r="A47" s="37" t="s">
        <v>421</v>
      </c>
      <c r="B47" s="4" t="s">
        <v>379</v>
      </c>
      <c r="C47" s="5" t="n">
        <v>69.4</v>
      </c>
    </row>
    <row r="48" customFormat="false" ht="15" hidden="false" customHeight="true" outlineLevel="0" collapsed="false">
      <c r="A48" s="38" t="s">
        <v>422</v>
      </c>
      <c r="B48" s="7" t="s">
        <v>376</v>
      </c>
      <c r="C48" s="8" t="n">
        <v>64.5</v>
      </c>
    </row>
    <row r="49" customFormat="false" ht="15" hidden="false" customHeight="true" outlineLevel="0" collapsed="false">
      <c r="A49" s="37" t="s">
        <v>423</v>
      </c>
      <c r="B49" s="4" t="s">
        <v>379</v>
      </c>
      <c r="C49" s="5" t="n">
        <v>69.7</v>
      </c>
    </row>
    <row r="50" customFormat="false" ht="15" hidden="false" customHeight="true" outlineLevel="0" collapsed="false">
      <c r="A50" s="38" t="s">
        <v>424</v>
      </c>
      <c r="B50" s="7" t="s">
        <v>379</v>
      </c>
      <c r="C50" s="8" t="n">
        <v>78.5</v>
      </c>
    </row>
    <row r="51" customFormat="false" ht="15" hidden="false" customHeight="true" outlineLevel="0" collapsed="false">
      <c r="A51" s="37" t="s">
        <v>425</v>
      </c>
      <c r="B51" s="4" t="s">
        <v>379</v>
      </c>
      <c r="C51" s="5" t="n">
        <v>60.7</v>
      </c>
    </row>
    <row r="52" customFormat="false" ht="15" hidden="false" customHeight="true" outlineLevel="0" collapsed="false">
      <c r="A52" s="38" t="s">
        <v>426</v>
      </c>
      <c r="B52" s="7" t="s">
        <v>379</v>
      </c>
      <c r="C52" s="8" t="n">
        <v>68</v>
      </c>
    </row>
    <row r="53" customFormat="false" ht="15" hidden="false" customHeight="true" outlineLevel="0" collapsed="false">
      <c r="A53" s="37" t="s">
        <v>427</v>
      </c>
      <c r="B53" s="4" t="s">
        <v>379</v>
      </c>
      <c r="C53" s="5" t="n">
        <v>86</v>
      </c>
    </row>
    <row r="54" customFormat="false" ht="15" hidden="false" customHeight="true" outlineLevel="0" collapsed="false">
      <c r="A54" s="38" t="s">
        <v>428</v>
      </c>
      <c r="B54" s="7" t="s">
        <v>376</v>
      </c>
      <c r="C54" s="8" t="n">
        <v>81.1</v>
      </c>
    </row>
    <row r="55" customFormat="false" ht="15" hidden="false" customHeight="true" outlineLevel="0" collapsed="false">
      <c r="A55" s="37" t="s">
        <v>429</v>
      </c>
      <c r="B55" s="4" t="s">
        <v>376</v>
      </c>
      <c r="C55" s="5" t="n">
        <v>70.1</v>
      </c>
    </row>
    <row r="56" customFormat="false" ht="15" hidden="false" customHeight="true" outlineLevel="0" collapsed="false">
      <c r="A56" s="38" t="s">
        <v>430</v>
      </c>
      <c r="B56" s="7" t="s">
        <v>379</v>
      </c>
      <c r="C56" s="8" t="n">
        <v>93.2</v>
      </c>
    </row>
    <row r="57" customFormat="false" ht="15" hidden="false" customHeight="true" outlineLevel="0" collapsed="false">
      <c r="A57" s="37" t="s">
        <v>431</v>
      </c>
      <c r="B57" s="4" t="s">
        <v>376</v>
      </c>
      <c r="C57" s="5" t="n">
        <v>55.3</v>
      </c>
    </row>
    <row r="58" customFormat="false" ht="15" hidden="false" customHeight="true" outlineLevel="0" collapsed="false">
      <c r="A58" s="38" t="s">
        <v>432</v>
      </c>
      <c r="B58" s="7" t="s">
        <v>379</v>
      </c>
      <c r="C58" s="8" t="n">
        <v>73.4</v>
      </c>
    </row>
    <row r="59" customFormat="false" ht="15" hidden="false" customHeight="true" outlineLevel="0" collapsed="false">
      <c r="A59" s="37" t="s">
        <v>433</v>
      </c>
      <c r="B59" s="4" t="s">
        <v>376</v>
      </c>
      <c r="C59" s="5" t="n">
        <v>57.8</v>
      </c>
    </row>
    <row r="60" customFormat="false" ht="15" hidden="false" customHeight="true" outlineLevel="0" collapsed="false">
      <c r="A60" s="38" t="s">
        <v>434</v>
      </c>
      <c r="B60" s="7" t="s">
        <v>379</v>
      </c>
      <c r="C60" s="8" t="n">
        <v>68.1</v>
      </c>
    </row>
    <row r="61" customFormat="false" ht="15" hidden="false" customHeight="true" outlineLevel="0" collapsed="false">
      <c r="A61" s="37" t="s">
        <v>435</v>
      </c>
      <c r="B61" s="4" t="s">
        <v>379</v>
      </c>
      <c r="C61" s="5" t="n">
        <v>81.6</v>
      </c>
    </row>
    <row r="62" customFormat="false" ht="15" hidden="false" customHeight="true" outlineLevel="0" collapsed="false">
      <c r="A62" s="38" t="s">
        <v>436</v>
      </c>
      <c r="B62" s="7" t="s">
        <v>379</v>
      </c>
      <c r="C62" s="8" t="n">
        <v>55.3</v>
      </c>
    </row>
    <row r="63" customFormat="false" ht="15" hidden="false" customHeight="true" outlineLevel="0" collapsed="false">
      <c r="A63" s="37" t="s">
        <v>437</v>
      </c>
      <c r="B63" s="4" t="s">
        <v>379</v>
      </c>
      <c r="C63" s="5" t="n">
        <v>59</v>
      </c>
    </row>
    <row r="64" customFormat="false" ht="15" hidden="false" customHeight="true" outlineLevel="0" collapsed="false">
      <c r="A64" s="38" t="s">
        <v>438</v>
      </c>
      <c r="B64" s="7" t="s">
        <v>376</v>
      </c>
      <c r="C64" s="8" t="n">
        <v>61</v>
      </c>
    </row>
    <row r="65" customFormat="false" ht="15" hidden="false" customHeight="true" outlineLevel="0" collapsed="false">
      <c r="A65" s="37" t="s">
        <v>439</v>
      </c>
      <c r="B65" s="4" t="s">
        <v>376</v>
      </c>
      <c r="C65" s="5" t="n">
        <v>78.1</v>
      </c>
    </row>
    <row r="66" customFormat="false" ht="15" hidden="false" customHeight="true" outlineLevel="0" collapsed="false">
      <c r="A66" s="38" t="s">
        <v>440</v>
      </c>
      <c r="B66" s="7" t="s">
        <v>379</v>
      </c>
      <c r="C66" s="8" t="n">
        <v>65.2</v>
      </c>
    </row>
    <row r="67" customFormat="false" ht="15" hidden="false" customHeight="true" outlineLevel="0" collapsed="false">
      <c r="A67" s="37" t="s">
        <v>441</v>
      </c>
      <c r="B67" s="4" t="s">
        <v>379</v>
      </c>
      <c r="C67" s="5" t="n">
        <v>73.1</v>
      </c>
    </row>
    <row r="68" customFormat="false" ht="15" hidden="false" customHeight="true" outlineLevel="0" collapsed="false">
      <c r="A68" s="38" t="s">
        <v>442</v>
      </c>
      <c r="B68" s="7" t="s">
        <v>379</v>
      </c>
      <c r="C68" s="8" t="n">
        <v>46.1</v>
      </c>
    </row>
    <row r="69" customFormat="false" ht="15" hidden="false" customHeight="true" outlineLevel="0" collapsed="false">
      <c r="A69" s="37" t="s">
        <v>443</v>
      </c>
      <c r="B69" s="4" t="s">
        <v>376</v>
      </c>
      <c r="C69" s="5" t="n">
        <v>80.9</v>
      </c>
    </row>
    <row r="70" customFormat="false" ht="15" hidden="false" customHeight="true" outlineLevel="0" collapsed="false">
      <c r="A70" s="38" t="s">
        <v>444</v>
      </c>
      <c r="B70" s="7" t="s">
        <v>376</v>
      </c>
      <c r="C70" s="8" t="n">
        <v>64.2</v>
      </c>
    </row>
    <row r="71" customFormat="false" ht="15" hidden="false" customHeight="true" outlineLevel="0" collapsed="false">
      <c r="A71" s="37" t="s">
        <v>445</v>
      </c>
      <c r="B71" s="4" t="s">
        <v>376</v>
      </c>
      <c r="C71" s="5" t="n">
        <v>96.4</v>
      </c>
    </row>
    <row r="72" customFormat="false" ht="15" hidden="false" customHeight="true" outlineLevel="0" collapsed="false">
      <c r="A72" s="38" t="s">
        <v>446</v>
      </c>
      <c r="B72" s="7" t="s">
        <v>379</v>
      </c>
      <c r="C72" s="8" t="n">
        <v>54.7</v>
      </c>
    </row>
    <row r="73" customFormat="false" ht="15" hidden="false" customHeight="true" outlineLevel="0" collapsed="false">
      <c r="A73" s="37" t="s">
        <v>447</v>
      </c>
      <c r="B73" s="4" t="s">
        <v>376</v>
      </c>
      <c r="C73" s="5" t="n">
        <v>78.5</v>
      </c>
    </row>
    <row r="74" customFormat="false" ht="15" hidden="false" customHeight="true" outlineLevel="0" collapsed="false">
      <c r="A74" s="38" t="s">
        <v>448</v>
      </c>
      <c r="B74" s="7" t="s">
        <v>379</v>
      </c>
      <c r="C74" s="8" t="n">
        <v>68.8</v>
      </c>
    </row>
    <row r="75" customFormat="false" ht="15" hidden="false" customHeight="true" outlineLevel="0" collapsed="false">
      <c r="A75" s="37" t="s">
        <v>449</v>
      </c>
      <c r="B75" s="4" t="s">
        <v>379</v>
      </c>
      <c r="C75" s="5" t="n">
        <v>49.5</v>
      </c>
    </row>
    <row r="76" customFormat="false" ht="15" hidden="false" customHeight="true" outlineLevel="0" collapsed="false">
      <c r="A76" s="38" t="s">
        <v>450</v>
      </c>
      <c r="B76" s="7" t="s">
        <v>379</v>
      </c>
      <c r="C76" s="8" t="n">
        <v>62.2</v>
      </c>
    </row>
    <row r="77" customFormat="false" ht="15" hidden="false" customHeight="true" outlineLevel="0" collapsed="false">
      <c r="A77" s="37" t="s">
        <v>451</v>
      </c>
      <c r="B77" s="4" t="s">
        <v>376</v>
      </c>
      <c r="C77" s="5" t="n">
        <v>78.5</v>
      </c>
    </row>
    <row r="78" customFormat="false" ht="15" hidden="false" customHeight="true" outlineLevel="0" collapsed="false">
      <c r="A78" s="38" t="s">
        <v>452</v>
      </c>
      <c r="B78" s="7" t="s">
        <v>376</v>
      </c>
      <c r="C78" s="8" t="n">
        <v>74.4</v>
      </c>
    </row>
    <row r="79" customFormat="false" ht="15" hidden="false" customHeight="true" outlineLevel="0" collapsed="false">
      <c r="A79" s="37" t="s">
        <v>453</v>
      </c>
      <c r="B79" s="4" t="s">
        <v>376</v>
      </c>
      <c r="C79" s="5" t="n">
        <v>71.4</v>
      </c>
    </row>
    <row r="80" customFormat="false" ht="15" hidden="false" customHeight="true" outlineLevel="0" collapsed="false">
      <c r="A80" s="38" t="s">
        <v>454</v>
      </c>
      <c r="B80" s="7" t="s">
        <v>376</v>
      </c>
      <c r="C80" s="8" t="n">
        <v>78.4</v>
      </c>
    </row>
    <row r="81" customFormat="false" ht="15" hidden="false" customHeight="true" outlineLevel="0" collapsed="false">
      <c r="A81" s="37" t="s">
        <v>455</v>
      </c>
      <c r="B81" s="4" t="s">
        <v>379</v>
      </c>
      <c r="C81" s="5" t="n">
        <v>50.2</v>
      </c>
    </row>
    <row r="82" customFormat="false" ht="15" hidden="false" customHeight="true" outlineLevel="0" collapsed="false">
      <c r="A82" s="38" t="s">
        <v>456</v>
      </c>
      <c r="B82" s="7" t="s">
        <v>376</v>
      </c>
      <c r="C82" s="8" t="n">
        <v>78.4</v>
      </c>
    </row>
    <row r="83" customFormat="false" ht="15" hidden="false" customHeight="true" outlineLevel="0" collapsed="false">
      <c r="A83" s="37" t="s">
        <v>457</v>
      </c>
      <c r="B83" s="4" t="s">
        <v>379</v>
      </c>
      <c r="C83" s="5" t="n">
        <v>86.9</v>
      </c>
    </row>
    <row r="84" customFormat="false" ht="15" hidden="false" customHeight="true" outlineLevel="0" collapsed="false">
      <c r="A84" s="38" t="s">
        <v>458</v>
      </c>
      <c r="B84" s="7" t="s">
        <v>379</v>
      </c>
      <c r="C84" s="8" t="n">
        <v>59.8</v>
      </c>
    </row>
    <row r="85" customFormat="false" ht="15" hidden="false" customHeight="true" outlineLevel="0" collapsed="false">
      <c r="A85" s="37" t="s">
        <v>459</v>
      </c>
      <c r="B85" s="4" t="s">
        <v>376</v>
      </c>
      <c r="C85" s="5" t="n">
        <v>62.6</v>
      </c>
    </row>
    <row r="86" customFormat="false" ht="15" hidden="false" customHeight="true" outlineLevel="0" collapsed="false">
      <c r="A86" s="38" t="s">
        <v>460</v>
      </c>
      <c r="B86" s="7" t="s">
        <v>376</v>
      </c>
      <c r="C86" s="8" t="n">
        <v>80.5</v>
      </c>
    </row>
    <row r="87" customFormat="false" ht="15" hidden="false" customHeight="true" outlineLevel="0" collapsed="false">
      <c r="A87" s="37" t="s">
        <v>461</v>
      </c>
      <c r="B87" s="4" t="s">
        <v>376</v>
      </c>
      <c r="C87" s="5" t="n">
        <v>72.4</v>
      </c>
    </row>
    <row r="88" customFormat="false" ht="15" hidden="false" customHeight="true" outlineLevel="0" collapsed="false">
      <c r="A88" s="38" t="s">
        <v>462</v>
      </c>
      <c r="B88" s="7" t="s">
        <v>379</v>
      </c>
      <c r="C88" s="8" t="n">
        <v>66.5</v>
      </c>
    </row>
    <row r="89" customFormat="false" ht="15" hidden="false" customHeight="true" outlineLevel="0" collapsed="false">
      <c r="A89" s="37" t="s">
        <v>463</v>
      </c>
      <c r="B89" s="4" t="s">
        <v>376</v>
      </c>
      <c r="C89" s="5" t="n">
        <v>73.7</v>
      </c>
    </row>
    <row r="90" customFormat="false" ht="15" hidden="false" customHeight="true" outlineLevel="0" collapsed="false">
      <c r="A90" s="38" t="s">
        <v>464</v>
      </c>
      <c r="B90" s="7" t="s">
        <v>376</v>
      </c>
      <c r="C90" s="8" t="n">
        <v>89.7</v>
      </c>
    </row>
    <row r="91" customFormat="false" ht="15" hidden="false" customHeight="true" outlineLevel="0" collapsed="false">
      <c r="A91" s="37" t="s">
        <v>465</v>
      </c>
      <c r="B91" s="4" t="s">
        <v>379</v>
      </c>
      <c r="C91" s="5" t="n">
        <v>63.8</v>
      </c>
    </row>
    <row r="92" customFormat="false" ht="15" hidden="false" customHeight="true" outlineLevel="0" collapsed="false">
      <c r="A92" s="38" t="s">
        <v>466</v>
      </c>
      <c r="B92" s="7" t="s">
        <v>379</v>
      </c>
      <c r="C92" s="8" t="n">
        <v>75.4</v>
      </c>
    </row>
    <row r="93" customFormat="false" ht="15" hidden="false" customHeight="true" outlineLevel="0" collapsed="false">
      <c r="A93" s="37" t="s">
        <v>467</v>
      </c>
      <c r="B93" s="4" t="s">
        <v>376</v>
      </c>
      <c r="C93" s="5" t="n">
        <v>55.4</v>
      </c>
    </row>
    <row r="94" customFormat="false" ht="15" hidden="false" customHeight="true" outlineLevel="0" collapsed="false">
      <c r="A94" s="38" t="s">
        <v>468</v>
      </c>
      <c r="B94" s="7" t="s">
        <v>376</v>
      </c>
      <c r="C94" s="8" t="n">
        <v>61.1</v>
      </c>
    </row>
    <row r="95" customFormat="false" ht="15" hidden="false" customHeight="true" outlineLevel="0" collapsed="false">
      <c r="A95" s="37" t="s">
        <v>469</v>
      </c>
      <c r="B95" s="4" t="s">
        <v>379</v>
      </c>
      <c r="C95" s="5" t="n">
        <v>55.3</v>
      </c>
    </row>
    <row r="96" customFormat="false" ht="15" hidden="false" customHeight="true" outlineLevel="0" collapsed="false">
      <c r="A96" s="38" t="s">
        <v>470</v>
      </c>
      <c r="B96" s="7" t="s">
        <v>376</v>
      </c>
      <c r="C96" s="8" t="n">
        <v>48.6</v>
      </c>
    </row>
    <row r="97" customFormat="false" ht="15" hidden="false" customHeight="true" outlineLevel="0" collapsed="false">
      <c r="A97" s="37" t="s">
        <v>471</v>
      </c>
      <c r="B97" s="4" t="s">
        <v>379</v>
      </c>
      <c r="C97" s="5" t="n">
        <v>58.7</v>
      </c>
    </row>
    <row r="98" customFormat="false" ht="15" hidden="false" customHeight="true" outlineLevel="0" collapsed="false">
      <c r="A98" s="38" t="s">
        <v>472</v>
      </c>
      <c r="B98" s="7" t="s">
        <v>376</v>
      </c>
      <c r="C98" s="8" t="n">
        <v>42</v>
      </c>
    </row>
    <row r="99" customFormat="false" ht="15" hidden="false" customHeight="true" outlineLevel="0" collapsed="false">
      <c r="A99" s="37" t="s">
        <v>473</v>
      </c>
      <c r="B99" s="4" t="s">
        <v>376</v>
      </c>
      <c r="C99" s="5" t="n">
        <v>63.2</v>
      </c>
    </row>
    <row r="100" customFormat="false" ht="15" hidden="false" customHeight="true" outlineLevel="0" collapsed="false">
      <c r="A100" s="38" t="s">
        <v>474</v>
      </c>
      <c r="B100" s="7" t="s">
        <v>376</v>
      </c>
      <c r="C100" s="8" t="n">
        <v>77.5</v>
      </c>
    </row>
    <row r="101" customFormat="false" ht="15" hidden="false" customHeight="true" outlineLevel="0" collapsed="false">
      <c r="A101" s="37" t="s">
        <v>475</v>
      </c>
      <c r="B101" s="4" t="s">
        <v>376</v>
      </c>
      <c r="C101" s="5" t="n">
        <v>79.3</v>
      </c>
    </row>
    <row r="102" customFormat="false" ht="15" hidden="false" customHeight="true" outlineLevel="0" collapsed="false">
      <c r="A102" s="38" t="s">
        <v>476</v>
      </c>
      <c r="B102" s="7" t="s">
        <v>379</v>
      </c>
      <c r="C102" s="8" t="n">
        <v>54.5</v>
      </c>
    </row>
    <row r="103" customFormat="false" ht="15" hidden="false" customHeight="true" outlineLevel="0" collapsed="false">
      <c r="A103" s="37" t="s">
        <v>477</v>
      </c>
      <c r="B103" s="4" t="s">
        <v>376</v>
      </c>
      <c r="C103" s="5" t="n">
        <v>68.5</v>
      </c>
    </row>
    <row r="104" customFormat="false" ht="15" hidden="false" customHeight="true" outlineLevel="0" collapsed="false">
      <c r="A104" s="38" t="s">
        <v>478</v>
      </c>
      <c r="B104" s="7" t="s">
        <v>379</v>
      </c>
      <c r="C104" s="8" t="n">
        <v>65.7</v>
      </c>
    </row>
    <row r="105" customFormat="false" ht="15" hidden="false" customHeight="true" outlineLevel="0" collapsed="false">
      <c r="A105" s="37" t="s">
        <v>479</v>
      </c>
      <c r="B105" s="4" t="s">
        <v>379</v>
      </c>
      <c r="C105" s="5" t="n">
        <v>85.7</v>
      </c>
    </row>
    <row r="106" customFormat="false" ht="15" hidden="false" customHeight="true" outlineLevel="0" collapsed="false">
      <c r="A106" s="38" t="s">
        <v>480</v>
      </c>
      <c r="B106" s="7" t="s">
        <v>379</v>
      </c>
      <c r="C106" s="8" t="n">
        <v>78.8</v>
      </c>
    </row>
    <row r="107" customFormat="false" ht="15" hidden="false" customHeight="true" outlineLevel="0" collapsed="false">
      <c r="A107" s="37" t="s">
        <v>481</v>
      </c>
      <c r="B107" s="4" t="s">
        <v>379</v>
      </c>
      <c r="C107" s="5" t="n">
        <v>79.1</v>
      </c>
    </row>
    <row r="108" customFormat="false" ht="15" hidden="false" customHeight="true" outlineLevel="0" collapsed="false">
      <c r="A108" s="38" t="s">
        <v>482</v>
      </c>
      <c r="B108" s="7" t="s">
        <v>379</v>
      </c>
      <c r="C108" s="8" t="n">
        <v>80.4</v>
      </c>
    </row>
    <row r="109" customFormat="false" ht="15" hidden="false" customHeight="true" outlineLevel="0" collapsed="false">
      <c r="A109" s="37" t="s">
        <v>483</v>
      </c>
      <c r="B109" s="4" t="s">
        <v>379</v>
      </c>
      <c r="C109" s="5" t="n">
        <v>72.4</v>
      </c>
    </row>
    <row r="110" customFormat="false" ht="15" hidden="false" customHeight="true" outlineLevel="0" collapsed="false">
      <c r="A110" s="38" t="s">
        <v>484</v>
      </c>
      <c r="B110" s="7" t="s">
        <v>379</v>
      </c>
      <c r="C110" s="8" t="n">
        <v>78</v>
      </c>
    </row>
    <row r="111" customFormat="false" ht="15" hidden="false" customHeight="true" outlineLevel="0" collapsed="false">
      <c r="A111" s="37" t="s">
        <v>485</v>
      </c>
      <c r="B111" s="4" t="s">
        <v>376</v>
      </c>
      <c r="C111" s="5" t="n">
        <v>90.5</v>
      </c>
    </row>
    <row r="112" customFormat="false" ht="15" hidden="false" customHeight="true" outlineLevel="0" collapsed="false">
      <c r="A112" s="38" t="s">
        <v>486</v>
      </c>
      <c r="B112" s="7" t="s">
        <v>376</v>
      </c>
      <c r="C112" s="8" t="n">
        <v>66.3</v>
      </c>
    </row>
    <row r="113" customFormat="false" ht="15" hidden="false" customHeight="true" outlineLevel="0" collapsed="false">
      <c r="A113" s="37" t="s">
        <v>487</v>
      </c>
      <c r="B113" s="4" t="s">
        <v>379</v>
      </c>
      <c r="C113" s="5" t="n">
        <v>47.3</v>
      </c>
    </row>
    <row r="114" customFormat="false" ht="15" hidden="false" customHeight="true" outlineLevel="0" collapsed="false">
      <c r="A114" s="38" t="s">
        <v>488</v>
      </c>
      <c r="B114" s="7" t="s">
        <v>376</v>
      </c>
      <c r="C114" s="8" t="n">
        <v>78.1</v>
      </c>
    </row>
    <row r="115" customFormat="false" ht="15" hidden="false" customHeight="true" outlineLevel="0" collapsed="false">
      <c r="A115" s="37" t="s">
        <v>489</v>
      </c>
      <c r="B115" s="4" t="s">
        <v>376</v>
      </c>
      <c r="C115" s="5" t="n">
        <v>72.9</v>
      </c>
    </row>
    <row r="116" customFormat="false" ht="15" hidden="false" customHeight="true" outlineLevel="0" collapsed="false">
      <c r="A116" s="38" t="s">
        <v>490</v>
      </c>
      <c r="B116" s="7" t="s">
        <v>376</v>
      </c>
      <c r="C116" s="8" t="n">
        <v>90.1</v>
      </c>
    </row>
    <row r="117" customFormat="false" ht="15" hidden="false" customHeight="true" outlineLevel="0" collapsed="false">
      <c r="A117" s="37" t="s">
        <v>491</v>
      </c>
      <c r="B117" s="4" t="s">
        <v>376</v>
      </c>
      <c r="C117" s="5" t="n">
        <v>79.2</v>
      </c>
    </row>
    <row r="118" customFormat="false" ht="15" hidden="false" customHeight="true" outlineLevel="0" collapsed="false">
      <c r="A118" s="38" t="s">
        <v>492</v>
      </c>
      <c r="B118" s="7" t="s">
        <v>379</v>
      </c>
      <c r="C118" s="8" t="n">
        <v>76.4</v>
      </c>
    </row>
    <row r="119" customFormat="false" ht="15" hidden="false" customHeight="true" outlineLevel="0" collapsed="false">
      <c r="A119" s="37" t="s">
        <v>493</v>
      </c>
      <c r="B119" s="4" t="s">
        <v>379</v>
      </c>
      <c r="C119" s="5" t="n">
        <v>70.2</v>
      </c>
    </row>
    <row r="120" customFormat="false" ht="15" hidden="false" customHeight="true" outlineLevel="0" collapsed="false">
      <c r="A120" s="38" t="s">
        <v>494</v>
      </c>
      <c r="B120" s="7" t="s">
        <v>376</v>
      </c>
      <c r="C120" s="8" t="n">
        <v>68.5</v>
      </c>
    </row>
    <row r="121" customFormat="false" ht="15" hidden="false" customHeight="true" outlineLevel="0" collapsed="false">
      <c r="A121" s="37" t="s">
        <v>495</v>
      </c>
      <c r="B121" s="4" t="s">
        <v>376</v>
      </c>
      <c r="C121" s="5" t="n">
        <v>68.5</v>
      </c>
    </row>
    <row r="122" customFormat="false" ht="15" hidden="false" customHeight="true" outlineLevel="0" collapsed="false">
      <c r="A122" s="38" t="s">
        <v>496</v>
      </c>
      <c r="B122" s="7" t="s">
        <v>376</v>
      </c>
      <c r="C122" s="8" t="n">
        <v>78.7</v>
      </c>
    </row>
    <row r="123" customFormat="false" ht="15" hidden="false" customHeight="true" outlineLevel="0" collapsed="false">
      <c r="A123" s="37" t="s">
        <v>497</v>
      </c>
      <c r="B123" s="4" t="s">
        <v>379</v>
      </c>
      <c r="C123" s="5" t="n">
        <v>55.6</v>
      </c>
    </row>
    <row r="124" customFormat="false" ht="15" hidden="false" customHeight="true" outlineLevel="0" collapsed="false">
      <c r="A124" s="38" t="s">
        <v>498</v>
      </c>
      <c r="B124" s="7" t="s">
        <v>379</v>
      </c>
      <c r="C124" s="8" t="n">
        <v>84.4</v>
      </c>
    </row>
    <row r="125" customFormat="false" ht="15" hidden="false" customHeight="true" outlineLevel="0" collapsed="false">
      <c r="A125" s="37" t="s">
        <v>499</v>
      </c>
      <c r="B125" s="4" t="s">
        <v>379</v>
      </c>
      <c r="C125" s="5" t="n">
        <v>84.5</v>
      </c>
    </row>
    <row r="126" customFormat="false" ht="15" hidden="false" customHeight="true" outlineLevel="0" collapsed="false">
      <c r="A126" s="38" t="s">
        <v>500</v>
      </c>
      <c r="B126" s="7" t="s">
        <v>376</v>
      </c>
      <c r="C126" s="8" t="n">
        <v>93.6</v>
      </c>
    </row>
    <row r="127" customFormat="false" ht="15" hidden="false" customHeight="true" outlineLevel="0" collapsed="false">
      <c r="A127" s="37" t="s">
        <v>501</v>
      </c>
      <c r="B127" s="4" t="s">
        <v>379</v>
      </c>
      <c r="C127" s="5" t="n">
        <v>67.2</v>
      </c>
    </row>
    <row r="128" customFormat="false" ht="15" hidden="false" customHeight="true" outlineLevel="0" collapsed="false">
      <c r="A128" s="38" t="s">
        <v>502</v>
      </c>
      <c r="B128" s="7" t="s">
        <v>379</v>
      </c>
      <c r="C128" s="8" t="n">
        <v>59.3</v>
      </c>
    </row>
    <row r="129" customFormat="false" ht="15" hidden="false" customHeight="true" outlineLevel="0" collapsed="false">
      <c r="A129" s="37" t="s">
        <v>503</v>
      </c>
      <c r="B129" s="4" t="s">
        <v>376</v>
      </c>
      <c r="C129" s="5" t="n">
        <v>65</v>
      </c>
    </row>
    <row r="130" customFormat="false" ht="15" hidden="false" customHeight="true" outlineLevel="0" collapsed="false">
      <c r="A130" s="38" t="s">
        <v>504</v>
      </c>
      <c r="B130" s="7" t="s">
        <v>376</v>
      </c>
      <c r="C130" s="8" t="n">
        <v>86.2</v>
      </c>
    </row>
    <row r="131" customFormat="false" ht="15" hidden="false" customHeight="true" outlineLevel="0" collapsed="false">
      <c r="A131" s="37" t="s">
        <v>505</v>
      </c>
      <c r="B131" s="4" t="s">
        <v>379</v>
      </c>
      <c r="C131" s="5" t="n">
        <v>84.3</v>
      </c>
    </row>
    <row r="132" customFormat="false" ht="15" hidden="false" customHeight="true" outlineLevel="0" collapsed="false">
      <c r="A132" s="38" t="s">
        <v>506</v>
      </c>
      <c r="B132" s="7" t="s">
        <v>376</v>
      </c>
      <c r="C132" s="8" t="n">
        <v>76.7</v>
      </c>
    </row>
    <row r="133" customFormat="false" ht="15" hidden="false" customHeight="true" outlineLevel="0" collapsed="false">
      <c r="A133" s="37" t="s">
        <v>507</v>
      </c>
      <c r="B133" s="4" t="s">
        <v>376</v>
      </c>
      <c r="C133" s="5" t="n">
        <v>86.1</v>
      </c>
    </row>
    <row r="134" customFormat="false" ht="15" hidden="false" customHeight="true" outlineLevel="0" collapsed="false">
      <c r="A134" s="38" t="s">
        <v>508</v>
      </c>
      <c r="B134" s="7" t="s">
        <v>379</v>
      </c>
      <c r="C134" s="8" t="n">
        <v>66.3</v>
      </c>
    </row>
    <row r="135" customFormat="false" ht="15" hidden="false" customHeight="true" outlineLevel="0" collapsed="false">
      <c r="A135" s="37" t="s">
        <v>509</v>
      </c>
      <c r="B135" s="4" t="s">
        <v>376</v>
      </c>
      <c r="C135" s="5" t="n">
        <v>76.7</v>
      </c>
    </row>
    <row r="136" customFormat="false" ht="15" hidden="false" customHeight="true" outlineLevel="0" collapsed="false">
      <c r="A136" s="38" t="s">
        <v>510</v>
      </c>
      <c r="B136" s="7" t="s">
        <v>379</v>
      </c>
      <c r="C136" s="8" t="n">
        <v>89</v>
      </c>
    </row>
    <row r="137" customFormat="false" ht="15" hidden="false" customHeight="true" outlineLevel="0" collapsed="false">
      <c r="A137" s="37" t="s">
        <v>511</v>
      </c>
      <c r="B137" s="4" t="s">
        <v>379</v>
      </c>
      <c r="C137" s="5" t="n">
        <v>41</v>
      </c>
    </row>
    <row r="138" customFormat="false" ht="15" hidden="false" customHeight="true" outlineLevel="0" collapsed="false">
      <c r="A138" s="38" t="s">
        <v>512</v>
      </c>
      <c r="B138" s="7" t="s">
        <v>379</v>
      </c>
      <c r="C138" s="8" t="n">
        <v>68</v>
      </c>
    </row>
    <row r="139" customFormat="false" ht="15" hidden="false" customHeight="true" outlineLevel="0" collapsed="false">
      <c r="A139" s="37" t="s">
        <v>513</v>
      </c>
      <c r="B139" s="4" t="s">
        <v>376</v>
      </c>
      <c r="C139" s="5" t="n">
        <v>73</v>
      </c>
    </row>
    <row r="140" customFormat="false" ht="15" hidden="false" customHeight="true" outlineLevel="0" collapsed="false">
      <c r="A140" s="38" t="s">
        <v>514</v>
      </c>
      <c r="B140" s="7" t="s">
        <v>376</v>
      </c>
      <c r="C140" s="8" t="n">
        <v>68.7</v>
      </c>
    </row>
    <row r="141" customFormat="false" ht="15" hidden="false" customHeight="true" outlineLevel="0" collapsed="false">
      <c r="A141" s="37" t="s">
        <v>515</v>
      </c>
      <c r="B141" s="4" t="s">
        <v>376</v>
      </c>
      <c r="C141" s="5" t="n">
        <v>76</v>
      </c>
    </row>
    <row r="142" customFormat="false" ht="15" hidden="false" customHeight="true" outlineLevel="0" collapsed="false">
      <c r="A142" s="38" t="s">
        <v>516</v>
      </c>
      <c r="B142" s="7" t="s">
        <v>376</v>
      </c>
      <c r="C142" s="8" t="n">
        <v>74.1</v>
      </c>
    </row>
    <row r="143" customFormat="false" ht="15" hidden="false" customHeight="true" outlineLevel="0" collapsed="false">
      <c r="A143" s="37" t="s">
        <v>517</v>
      </c>
      <c r="B143" s="4" t="s">
        <v>379</v>
      </c>
      <c r="C143" s="5" t="n">
        <v>61.7</v>
      </c>
    </row>
    <row r="144" customFormat="false" ht="15" hidden="false" customHeight="true" outlineLevel="0" collapsed="false">
      <c r="A144" s="38" t="s">
        <v>518</v>
      </c>
      <c r="B144" s="7" t="s">
        <v>379</v>
      </c>
      <c r="C144" s="8" t="n">
        <v>71</v>
      </c>
    </row>
    <row r="145" customFormat="false" ht="15" hidden="false" customHeight="true" outlineLevel="0" collapsed="false">
      <c r="A145" s="37" t="s">
        <v>519</v>
      </c>
      <c r="B145" s="4" t="s">
        <v>376</v>
      </c>
      <c r="C145" s="5" t="n">
        <v>77.8</v>
      </c>
    </row>
    <row r="146" customFormat="false" ht="15" hidden="false" customHeight="true" outlineLevel="0" collapsed="false">
      <c r="A146" s="38" t="s">
        <v>520</v>
      </c>
      <c r="B146" s="7" t="s">
        <v>379</v>
      </c>
      <c r="C146" s="8" t="n">
        <v>64.7</v>
      </c>
    </row>
    <row r="147" customFormat="false" ht="15" hidden="false" customHeight="true" outlineLevel="0" collapsed="false">
      <c r="A147" s="37" t="s">
        <v>521</v>
      </c>
      <c r="B147" s="4" t="s">
        <v>379</v>
      </c>
      <c r="C147" s="5" t="n">
        <v>79.4</v>
      </c>
    </row>
    <row r="148" customFormat="false" ht="15" hidden="false" customHeight="true" outlineLevel="0" collapsed="false">
      <c r="A148" s="38" t="s">
        <v>522</v>
      </c>
      <c r="B148" s="7" t="s">
        <v>376</v>
      </c>
      <c r="C148" s="8" t="n">
        <v>59.5</v>
      </c>
    </row>
    <row r="149" customFormat="false" ht="15" hidden="false" customHeight="true" outlineLevel="0" collapsed="false">
      <c r="A149" s="37" t="s">
        <v>523</v>
      </c>
      <c r="B149" s="4" t="s">
        <v>379</v>
      </c>
      <c r="C149" s="5" t="n">
        <v>67</v>
      </c>
    </row>
    <row r="150" customFormat="false" ht="15" hidden="false" customHeight="true" outlineLevel="0" collapsed="false">
      <c r="A150" s="38" t="s">
        <v>524</v>
      </c>
      <c r="B150" s="7" t="s">
        <v>379</v>
      </c>
      <c r="C150" s="8" t="n">
        <v>69</v>
      </c>
    </row>
    <row r="151" customFormat="false" ht="15" hidden="false" customHeight="true" outlineLevel="0" collapsed="false">
      <c r="A151" s="37" t="s">
        <v>525</v>
      </c>
      <c r="B151" s="4" t="s">
        <v>379</v>
      </c>
      <c r="C151" s="5" t="n">
        <v>74.3</v>
      </c>
    </row>
    <row r="152" customFormat="false" ht="15" hidden="false" customHeight="true" outlineLevel="0" collapsed="false">
      <c r="A152" s="38" t="s">
        <v>526</v>
      </c>
      <c r="B152" s="7" t="s">
        <v>376</v>
      </c>
      <c r="C152" s="8" t="n">
        <v>74.3</v>
      </c>
    </row>
    <row r="153" customFormat="false" ht="15" hidden="false" customHeight="true" outlineLevel="0" collapsed="false">
      <c r="A153" s="37" t="s">
        <v>527</v>
      </c>
      <c r="B153" s="4" t="s">
        <v>379</v>
      </c>
      <c r="C153" s="5" t="n">
        <v>70.3</v>
      </c>
    </row>
    <row r="154" customFormat="false" ht="15" hidden="false" customHeight="true" outlineLevel="0" collapsed="false">
      <c r="A154" s="38" t="s">
        <v>528</v>
      </c>
      <c r="B154" s="7" t="s">
        <v>376</v>
      </c>
      <c r="C154" s="8" t="n">
        <v>70.2</v>
      </c>
    </row>
    <row r="155" customFormat="false" ht="15" hidden="false" customHeight="true" outlineLevel="0" collapsed="false">
      <c r="A155" s="37" t="s">
        <v>529</v>
      </c>
      <c r="B155" s="4" t="s">
        <v>376</v>
      </c>
      <c r="C155" s="5" t="n">
        <v>72</v>
      </c>
    </row>
    <row r="156" customFormat="false" ht="15" hidden="false" customHeight="true" outlineLevel="0" collapsed="false">
      <c r="A156" s="38" t="s">
        <v>530</v>
      </c>
      <c r="B156" s="7" t="s">
        <v>379</v>
      </c>
      <c r="C156" s="8" t="n">
        <v>78.8</v>
      </c>
    </row>
    <row r="157" customFormat="false" ht="15" hidden="false" customHeight="true" outlineLevel="0" collapsed="false">
      <c r="A157" s="37" t="s">
        <v>531</v>
      </c>
      <c r="B157" s="4" t="s">
        <v>379</v>
      </c>
      <c r="C157" s="5" t="n">
        <v>80.8</v>
      </c>
    </row>
    <row r="158" customFormat="false" ht="15" hidden="false" customHeight="true" outlineLevel="0" collapsed="false">
      <c r="A158" s="38" t="s">
        <v>532</v>
      </c>
      <c r="B158" s="7" t="s">
        <v>379</v>
      </c>
      <c r="C158" s="8" t="n">
        <v>65.2</v>
      </c>
    </row>
    <row r="159" customFormat="false" ht="15" hidden="false" customHeight="true" outlineLevel="0" collapsed="false">
      <c r="A159" s="37" t="s">
        <v>533</v>
      </c>
      <c r="B159" s="4" t="s">
        <v>379</v>
      </c>
      <c r="C159" s="5" t="n">
        <v>79.4</v>
      </c>
    </row>
    <row r="160" customFormat="false" ht="15" hidden="false" customHeight="true" outlineLevel="0" collapsed="false">
      <c r="A160" s="38" t="s">
        <v>534</v>
      </c>
      <c r="B160" s="7" t="s">
        <v>379</v>
      </c>
      <c r="C160" s="8" t="n">
        <v>73.6</v>
      </c>
    </row>
    <row r="161" customFormat="false" ht="15" hidden="false" customHeight="true" outlineLevel="0" collapsed="false">
      <c r="A161" s="37" t="s">
        <v>535</v>
      </c>
      <c r="B161" s="4" t="s">
        <v>376</v>
      </c>
      <c r="C161" s="5" t="n">
        <v>56</v>
      </c>
    </row>
    <row r="162" customFormat="false" ht="15" hidden="false" customHeight="true" outlineLevel="0" collapsed="false">
      <c r="A162" s="38" t="s">
        <v>536</v>
      </c>
      <c r="B162" s="7" t="s">
        <v>376</v>
      </c>
      <c r="C162" s="8" t="n">
        <v>75.7</v>
      </c>
    </row>
    <row r="163" customFormat="false" ht="15" hidden="false" customHeight="true" outlineLevel="0" collapsed="false">
      <c r="A163" s="37" t="s">
        <v>537</v>
      </c>
      <c r="B163" s="4" t="s">
        <v>376</v>
      </c>
      <c r="C163" s="5" t="n">
        <v>89.8</v>
      </c>
    </row>
    <row r="164" customFormat="false" ht="15" hidden="false" customHeight="true" outlineLevel="0" collapsed="false">
      <c r="A164" s="38" t="s">
        <v>538</v>
      </c>
      <c r="B164" s="7" t="s">
        <v>376</v>
      </c>
      <c r="C164" s="8" t="n">
        <v>67.6</v>
      </c>
    </row>
    <row r="165" customFormat="false" ht="15" hidden="false" customHeight="true" outlineLevel="0" collapsed="false">
      <c r="A165" s="37" t="s">
        <v>539</v>
      </c>
      <c r="B165" s="4" t="s">
        <v>376</v>
      </c>
      <c r="C165" s="5" t="n">
        <v>64.9</v>
      </c>
    </row>
    <row r="166" customFormat="false" ht="15" hidden="false" customHeight="true" outlineLevel="0" collapsed="false">
      <c r="A166" s="38" t="s">
        <v>540</v>
      </c>
      <c r="B166" s="7" t="s">
        <v>379</v>
      </c>
      <c r="C166" s="8" t="n">
        <v>69</v>
      </c>
    </row>
    <row r="167" customFormat="false" ht="15" hidden="false" customHeight="true" outlineLevel="0" collapsed="false">
      <c r="A167" s="37" t="s">
        <v>541</v>
      </c>
      <c r="B167" s="4" t="s">
        <v>376</v>
      </c>
      <c r="C167" s="5" t="n">
        <v>75.6</v>
      </c>
    </row>
    <row r="168" customFormat="false" ht="15" hidden="false" customHeight="true" outlineLevel="0" collapsed="false">
      <c r="A168" s="38" t="s">
        <v>542</v>
      </c>
      <c r="B168" s="7" t="s">
        <v>379</v>
      </c>
      <c r="C168" s="8" t="n">
        <v>82.1</v>
      </c>
    </row>
    <row r="169" customFormat="false" ht="15" hidden="false" customHeight="true" outlineLevel="0" collapsed="false">
      <c r="A169" s="37" t="s">
        <v>543</v>
      </c>
      <c r="B169" s="4" t="s">
        <v>376</v>
      </c>
      <c r="C169" s="5" t="n">
        <v>69.1</v>
      </c>
    </row>
    <row r="170" customFormat="false" ht="15" hidden="false" customHeight="true" outlineLevel="0" collapsed="false">
      <c r="A170" s="38" t="s">
        <v>544</v>
      </c>
      <c r="B170" s="7" t="s">
        <v>379</v>
      </c>
      <c r="C170" s="8" t="n">
        <v>72.9</v>
      </c>
    </row>
    <row r="171" customFormat="false" ht="15" hidden="false" customHeight="true" outlineLevel="0" collapsed="false">
      <c r="A171" s="37" t="s">
        <v>545</v>
      </c>
      <c r="B171" s="4" t="s">
        <v>379</v>
      </c>
      <c r="C171" s="5" t="n">
        <v>53.9</v>
      </c>
    </row>
    <row r="172" customFormat="false" ht="15" hidden="false" customHeight="true" outlineLevel="0" collapsed="false">
      <c r="A172" s="38" t="s">
        <v>546</v>
      </c>
      <c r="B172" s="7" t="s">
        <v>376</v>
      </c>
      <c r="C172" s="8" t="n">
        <v>78.7</v>
      </c>
    </row>
    <row r="173" customFormat="false" ht="15" hidden="false" customHeight="true" outlineLevel="0" collapsed="false">
      <c r="A173" s="37" t="s">
        <v>547</v>
      </c>
      <c r="B173" s="4" t="s">
        <v>379</v>
      </c>
      <c r="C173" s="5" t="n">
        <v>87.6</v>
      </c>
    </row>
    <row r="174" customFormat="false" ht="15" hidden="false" customHeight="true" outlineLevel="0" collapsed="false">
      <c r="A174" s="38" t="s">
        <v>548</v>
      </c>
      <c r="B174" s="7" t="s">
        <v>379</v>
      </c>
      <c r="C174" s="8" t="n">
        <v>31.9</v>
      </c>
    </row>
    <row r="175" customFormat="false" ht="15" hidden="false" customHeight="true" outlineLevel="0" collapsed="false">
      <c r="A175" s="37" t="s">
        <v>549</v>
      </c>
      <c r="B175" s="4" t="s">
        <v>379</v>
      </c>
      <c r="C175" s="5" t="n">
        <v>79.9</v>
      </c>
    </row>
    <row r="176" customFormat="false" ht="15" hidden="false" customHeight="true" outlineLevel="0" collapsed="false">
      <c r="A176" s="38" t="s">
        <v>550</v>
      </c>
      <c r="B176" s="7" t="s">
        <v>379</v>
      </c>
      <c r="C176" s="8" t="n">
        <v>66.7</v>
      </c>
    </row>
    <row r="177" customFormat="false" ht="15" hidden="false" customHeight="true" outlineLevel="0" collapsed="false">
      <c r="A177" s="37" t="s">
        <v>551</v>
      </c>
      <c r="B177" s="4" t="s">
        <v>379</v>
      </c>
      <c r="C177" s="5" t="n">
        <v>64</v>
      </c>
    </row>
    <row r="178" customFormat="false" ht="15" hidden="false" customHeight="true" outlineLevel="0" collapsed="false">
      <c r="A178" s="38" t="s">
        <v>552</v>
      </c>
      <c r="B178" s="7" t="s">
        <v>376</v>
      </c>
      <c r="C178" s="8" t="n">
        <v>54.6</v>
      </c>
    </row>
    <row r="179" customFormat="false" ht="15" hidden="false" customHeight="true" outlineLevel="0" collapsed="false">
      <c r="A179" s="37" t="s">
        <v>553</v>
      </c>
      <c r="B179" s="4" t="s">
        <v>379</v>
      </c>
      <c r="C179" s="5" t="n">
        <v>71.5</v>
      </c>
    </row>
    <row r="180" customFormat="false" ht="15" hidden="false" customHeight="true" outlineLevel="0" collapsed="false">
      <c r="A180" s="38" t="s">
        <v>554</v>
      </c>
      <c r="B180" s="7" t="s">
        <v>376</v>
      </c>
      <c r="C180" s="8" t="n">
        <v>85</v>
      </c>
    </row>
    <row r="181" customFormat="false" ht="15" hidden="false" customHeight="true" outlineLevel="0" collapsed="false">
      <c r="A181" s="37" t="s">
        <v>555</v>
      </c>
      <c r="B181" s="4" t="s">
        <v>379</v>
      </c>
      <c r="C181" s="5" t="n">
        <v>79.8</v>
      </c>
    </row>
    <row r="182" customFormat="false" ht="15" hidden="false" customHeight="true" outlineLevel="0" collapsed="false">
      <c r="A182" s="38" t="s">
        <v>556</v>
      </c>
      <c r="B182" s="7" t="s">
        <v>379</v>
      </c>
      <c r="C182" s="8" t="n">
        <v>59.2</v>
      </c>
    </row>
    <row r="183" customFormat="false" ht="15" hidden="false" customHeight="true" outlineLevel="0" collapsed="false">
      <c r="A183" s="37" t="s">
        <v>557</v>
      </c>
      <c r="B183" s="4" t="s">
        <v>379</v>
      </c>
      <c r="C183" s="5" t="n">
        <v>71.8</v>
      </c>
    </row>
    <row r="184" customFormat="false" ht="15" hidden="false" customHeight="true" outlineLevel="0" collapsed="false">
      <c r="A184" s="38" t="s">
        <v>558</v>
      </c>
      <c r="B184" s="7" t="s">
        <v>379</v>
      </c>
      <c r="C184" s="8" t="n">
        <v>46.7</v>
      </c>
    </row>
    <row r="185" customFormat="false" ht="15" hidden="false" customHeight="true" outlineLevel="0" collapsed="false">
      <c r="A185" s="37" t="s">
        <v>559</v>
      </c>
      <c r="B185" s="4" t="s">
        <v>379</v>
      </c>
      <c r="C185" s="5" t="n">
        <v>87.7</v>
      </c>
    </row>
    <row r="186" customFormat="false" ht="15" hidden="false" customHeight="true" outlineLevel="0" collapsed="false">
      <c r="A186" s="38" t="s">
        <v>560</v>
      </c>
      <c r="B186" s="7" t="s">
        <v>379</v>
      </c>
      <c r="C186" s="8" t="n">
        <v>63.9</v>
      </c>
    </row>
    <row r="187" customFormat="false" ht="15" hidden="false" customHeight="true" outlineLevel="0" collapsed="false">
      <c r="A187" s="37" t="s">
        <v>561</v>
      </c>
      <c r="B187" s="4" t="s">
        <v>379</v>
      </c>
      <c r="C187" s="5" t="n">
        <v>71.8</v>
      </c>
    </row>
    <row r="188" customFormat="false" ht="15" hidden="false" customHeight="true" outlineLevel="0" collapsed="false">
      <c r="A188" s="38" t="s">
        <v>562</v>
      </c>
      <c r="B188" s="7" t="s">
        <v>379</v>
      </c>
      <c r="C188" s="8" t="n">
        <v>60.6</v>
      </c>
    </row>
    <row r="189" customFormat="false" ht="15" hidden="false" customHeight="true" outlineLevel="0" collapsed="false">
      <c r="A189" s="37" t="s">
        <v>563</v>
      </c>
      <c r="B189" s="4" t="s">
        <v>376</v>
      </c>
      <c r="C189" s="5" t="n">
        <v>65.7</v>
      </c>
    </row>
    <row r="190" customFormat="false" ht="15" hidden="false" customHeight="true" outlineLevel="0" collapsed="false">
      <c r="A190" s="38" t="s">
        <v>564</v>
      </c>
      <c r="B190" s="7" t="s">
        <v>376</v>
      </c>
      <c r="C190" s="8" t="n">
        <v>81.9</v>
      </c>
    </row>
    <row r="191" customFormat="false" ht="15" hidden="false" customHeight="true" outlineLevel="0" collapsed="false">
      <c r="A191" s="37" t="s">
        <v>565</v>
      </c>
      <c r="B191" s="4" t="s">
        <v>376</v>
      </c>
      <c r="C191" s="5" t="n">
        <v>69.4</v>
      </c>
    </row>
    <row r="192" customFormat="false" ht="15" hidden="false" customHeight="true" outlineLevel="0" collapsed="false">
      <c r="A192" s="38" t="s">
        <v>566</v>
      </c>
      <c r="B192" s="7" t="s">
        <v>379</v>
      </c>
      <c r="C192" s="8" t="n">
        <v>65.7</v>
      </c>
    </row>
    <row r="193" customFormat="false" ht="15" hidden="false" customHeight="true" outlineLevel="0" collapsed="false">
      <c r="A193" s="37" t="s">
        <v>567</v>
      </c>
      <c r="B193" s="4" t="s">
        <v>379</v>
      </c>
      <c r="C193" s="5" t="n">
        <v>95.2</v>
      </c>
    </row>
    <row r="194" customFormat="false" ht="15" hidden="false" customHeight="true" outlineLevel="0" collapsed="false">
      <c r="A194" s="38" t="s">
        <v>568</v>
      </c>
      <c r="B194" s="7" t="s">
        <v>379</v>
      </c>
      <c r="C194" s="8" t="n">
        <v>55.3</v>
      </c>
    </row>
    <row r="195" customFormat="false" ht="15" hidden="false" customHeight="true" outlineLevel="0" collapsed="false">
      <c r="A195" s="37" t="s">
        <v>569</v>
      </c>
      <c r="B195" s="4" t="s">
        <v>376</v>
      </c>
      <c r="C195" s="5" t="n">
        <v>80.6</v>
      </c>
    </row>
    <row r="196" customFormat="false" ht="15" hidden="false" customHeight="true" outlineLevel="0" collapsed="false">
      <c r="A196" s="38" t="s">
        <v>570</v>
      </c>
      <c r="B196" s="7" t="s">
        <v>379</v>
      </c>
      <c r="C196" s="8" t="n">
        <v>70</v>
      </c>
    </row>
    <row r="197" customFormat="false" ht="15" hidden="false" customHeight="true" outlineLevel="0" collapsed="false">
      <c r="A197" s="37" t="s">
        <v>571</v>
      </c>
      <c r="B197" s="4" t="s">
        <v>376</v>
      </c>
      <c r="C197" s="5" t="n">
        <v>66.9</v>
      </c>
    </row>
    <row r="198" customFormat="false" ht="15" hidden="false" customHeight="true" outlineLevel="0" collapsed="false">
      <c r="A198" s="38" t="s">
        <v>572</v>
      </c>
      <c r="B198" s="7" t="s">
        <v>376</v>
      </c>
      <c r="C198" s="8" t="n">
        <v>55.9</v>
      </c>
    </row>
    <row r="199" customFormat="false" ht="15" hidden="false" customHeight="true" outlineLevel="0" collapsed="false">
      <c r="A199" s="37" t="s">
        <v>573</v>
      </c>
      <c r="B199" s="4" t="s">
        <v>376</v>
      </c>
      <c r="C199" s="5" t="n">
        <v>61.7</v>
      </c>
    </row>
    <row r="200" customFormat="false" ht="15" hidden="false" customHeight="true" outlineLevel="0" collapsed="false">
      <c r="A200" s="38" t="s">
        <v>574</v>
      </c>
      <c r="B200" s="7" t="s">
        <v>376</v>
      </c>
      <c r="C200" s="8" t="n">
        <v>87.5</v>
      </c>
    </row>
    <row r="201" customFormat="false" ht="15" hidden="false" customHeight="true" outlineLevel="0" collapsed="false">
      <c r="A201" s="37" t="s">
        <v>575</v>
      </c>
      <c r="B201" s="4" t="s">
        <v>376</v>
      </c>
      <c r="C201" s="5" t="n">
        <v>71.8</v>
      </c>
    </row>
    <row r="202" customFormat="false" ht="15" hidden="false" customHeight="true" outlineLevel="0" collapsed="false">
      <c r="A202" s="38" t="s">
        <v>576</v>
      </c>
      <c r="B202" s="7" t="s">
        <v>376</v>
      </c>
      <c r="C202" s="8" t="n">
        <v>73.9</v>
      </c>
    </row>
    <row r="203" customFormat="false" ht="15" hidden="false" customHeight="true" outlineLevel="0" collapsed="false">
      <c r="A203" s="37" t="s">
        <v>577</v>
      </c>
      <c r="B203" s="4" t="s">
        <v>379</v>
      </c>
      <c r="C203" s="5" t="n">
        <v>82.8</v>
      </c>
    </row>
    <row r="204" customFormat="false" ht="15" hidden="false" customHeight="true" outlineLevel="0" collapsed="false">
      <c r="A204" s="38" t="s">
        <v>578</v>
      </c>
      <c r="B204" s="7" t="s">
        <v>376</v>
      </c>
      <c r="C204" s="8" t="n">
        <v>91.4</v>
      </c>
    </row>
    <row r="205" customFormat="false" ht="15" hidden="false" customHeight="true" outlineLevel="0" collapsed="false">
      <c r="A205" s="37" t="s">
        <v>579</v>
      </c>
      <c r="B205" s="4" t="s">
        <v>376</v>
      </c>
      <c r="C205" s="5" t="n">
        <v>56.6</v>
      </c>
    </row>
    <row r="206" customFormat="false" ht="15" hidden="false" customHeight="true" outlineLevel="0" collapsed="false">
      <c r="A206" s="38" t="s">
        <v>580</v>
      </c>
      <c r="B206" s="7" t="s">
        <v>376</v>
      </c>
      <c r="C206" s="8" t="n">
        <v>60.1</v>
      </c>
    </row>
    <row r="207" customFormat="false" ht="15" hidden="false" customHeight="true" outlineLevel="0" collapsed="false">
      <c r="A207" s="37" t="s">
        <v>581</v>
      </c>
      <c r="B207" s="4" t="s">
        <v>376</v>
      </c>
      <c r="C207" s="5" t="n">
        <v>72.2</v>
      </c>
    </row>
    <row r="208" customFormat="false" ht="15" hidden="false" customHeight="true" outlineLevel="0" collapsed="false">
      <c r="A208" s="38" t="s">
        <v>582</v>
      </c>
      <c r="B208" s="7" t="s">
        <v>379</v>
      </c>
      <c r="C208" s="8" t="n">
        <v>95.7</v>
      </c>
    </row>
    <row r="209" customFormat="false" ht="15" hidden="false" customHeight="true" outlineLevel="0" collapsed="false">
      <c r="A209" s="37" t="s">
        <v>583</v>
      </c>
      <c r="B209" s="4" t="s">
        <v>379</v>
      </c>
      <c r="C209" s="5" t="n">
        <v>66.9</v>
      </c>
    </row>
    <row r="210" customFormat="false" ht="15" hidden="false" customHeight="true" outlineLevel="0" collapsed="false">
      <c r="A210" s="38" t="s">
        <v>584</v>
      </c>
      <c r="B210" s="7" t="s">
        <v>379</v>
      </c>
      <c r="C210" s="8" t="n">
        <v>67</v>
      </c>
    </row>
    <row r="211" customFormat="false" ht="15" hidden="false" customHeight="true" outlineLevel="0" collapsed="false">
      <c r="A211" s="37" t="s">
        <v>585</v>
      </c>
      <c r="B211" s="4" t="s">
        <v>376</v>
      </c>
      <c r="C211" s="5" t="n">
        <v>76.7</v>
      </c>
    </row>
    <row r="212" customFormat="false" ht="15" hidden="false" customHeight="true" outlineLevel="0" collapsed="false">
      <c r="A212" s="38" t="s">
        <v>586</v>
      </c>
      <c r="B212" s="7" t="s">
        <v>379</v>
      </c>
      <c r="C212" s="8" t="n">
        <v>70.9</v>
      </c>
    </row>
    <row r="213" customFormat="false" ht="15" hidden="false" customHeight="true" outlineLevel="0" collapsed="false">
      <c r="A213" s="37" t="s">
        <v>587</v>
      </c>
      <c r="B213" s="4" t="s">
        <v>376</v>
      </c>
      <c r="C213" s="5" t="n">
        <v>86.6</v>
      </c>
    </row>
    <row r="214" customFormat="false" ht="15" hidden="false" customHeight="true" outlineLevel="0" collapsed="false">
      <c r="A214" s="38" t="s">
        <v>588</v>
      </c>
      <c r="B214" s="7" t="s">
        <v>379</v>
      </c>
      <c r="C214" s="8" t="n">
        <v>65.4</v>
      </c>
    </row>
    <row r="215" customFormat="false" ht="15" hidden="false" customHeight="true" outlineLevel="0" collapsed="false">
      <c r="A215" s="37" t="s">
        <v>589</v>
      </c>
      <c r="B215" s="4" t="s">
        <v>379</v>
      </c>
      <c r="C215" s="5" t="n">
        <v>59</v>
      </c>
    </row>
    <row r="216" customFormat="false" ht="15" hidden="false" customHeight="true" outlineLevel="0" collapsed="false">
      <c r="A216" s="38" t="s">
        <v>590</v>
      </c>
      <c r="B216" s="7" t="s">
        <v>376</v>
      </c>
      <c r="C216" s="8" t="n">
        <v>74.3</v>
      </c>
    </row>
    <row r="217" customFormat="false" ht="15" hidden="false" customHeight="true" outlineLevel="0" collapsed="false">
      <c r="A217" s="37" t="s">
        <v>591</v>
      </c>
      <c r="B217" s="4" t="s">
        <v>376</v>
      </c>
      <c r="C217" s="5" t="n">
        <v>86.5</v>
      </c>
    </row>
    <row r="218" customFormat="false" ht="15" hidden="false" customHeight="true" outlineLevel="0" collapsed="false">
      <c r="A218" s="38" t="s">
        <v>592</v>
      </c>
      <c r="B218" s="7" t="s">
        <v>379</v>
      </c>
      <c r="C218" s="8" t="n">
        <v>57.1</v>
      </c>
    </row>
    <row r="219" customFormat="false" ht="15" hidden="false" customHeight="true" outlineLevel="0" collapsed="false">
      <c r="A219" s="37" t="s">
        <v>593</v>
      </c>
      <c r="B219" s="4" t="s">
        <v>376</v>
      </c>
      <c r="C219" s="5" t="n">
        <v>59.7</v>
      </c>
    </row>
    <row r="220" customFormat="false" ht="15" hidden="false" customHeight="true" outlineLevel="0" collapsed="false">
      <c r="A220" s="38" t="s">
        <v>594</v>
      </c>
      <c r="B220" s="7" t="s">
        <v>376</v>
      </c>
      <c r="C220" s="8" t="n">
        <v>77.7</v>
      </c>
    </row>
    <row r="221" customFormat="false" ht="15" hidden="false" customHeight="true" outlineLevel="0" collapsed="false">
      <c r="A221" s="37" t="s">
        <v>595</v>
      </c>
      <c r="B221" s="4" t="s">
        <v>376</v>
      </c>
      <c r="C221" s="5" t="n">
        <v>72.8</v>
      </c>
    </row>
    <row r="222" customFormat="false" ht="15" hidden="false" customHeight="true" outlineLevel="0" collapsed="false">
      <c r="A222" s="38" t="s">
        <v>596</v>
      </c>
      <c r="B222" s="7" t="s">
        <v>376</v>
      </c>
      <c r="C222" s="8" t="n">
        <v>69.9</v>
      </c>
    </row>
    <row r="223" customFormat="false" ht="15" hidden="false" customHeight="true" outlineLevel="0" collapsed="false">
      <c r="A223" s="37" t="s">
        <v>597</v>
      </c>
      <c r="B223" s="4" t="s">
        <v>376</v>
      </c>
      <c r="C223" s="5" t="n">
        <v>67.8</v>
      </c>
    </row>
    <row r="224" customFormat="false" ht="15" hidden="false" customHeight="true" outlineLevel="0" collapsed="false">
      <c r="A224" s="38" t="s">
        <v>598</v>
      </c>
      <c r="B224" s="7" t="s">
        <v>379</v>
      </c>
      <c r="C224" s="8" t="n">
        <v>67.3</v>
      </c>
    </row>
    <row r="225" customFormat="false" ht="15" hidden="false" customHeight="true" outlineLevel="0" collapsed="false">
      <c r="A225" s="37" t="s">
        <v>599</v>
      </c>
      <c r="B225" s="4" t="s">
        <v>376</v>
      </c>
      <c r="C225" s="5" t="n">
        <v>56.4</v>
      </c>
    </row>
    <row r="226" customFormat="false" ht="15" hidden="false" customHeight="true" outlineLevel="0" collapsed="false">
      <c r="A226" s="38" t="s">
        <v>600</v>
      </c>
      <c r="B226" s="7" t="s">
        <v>379</v>
      </c>
      <c r="C226" s="8" t="n">
        <v>74.8</v>
      </c>
    </row>
    <row r="227" customFormat="false" ht="15" hidden="false" customHeight="true" outlineLevel="0" collapsed="false">
      <c r="A227" s="37" t="s">
        <v>601</v>
      </c>
      <c r="B227" s="4" t="s">
        <v>379</v>
      </c>
      <c r="C227" s="5" t="n">
        <v>55.4</v>
      </c>
    </row>
    <row r="228" customFormat="false" ht="15" hidden="false" customHeight="true" outlineLevel="0" collapsed="false">
      <c r="A228" s="38" t="s">
        <v>602</v>
      </c>
      <c r="B228" s="7" t="s">
        <v>379</v>
      </c>
      <c r="C228" s="8" t="n">
        <v>50.7</v>
      </c>
    </row>
    <row r="229" customFormat="false" ht="15" hidden="false" customHeight="true" outlineLevel="0" collapsed="false">
      <c r="A229" s="37" t="s">
        <v>603</v>
      </c>
      <c r="B229" s="4" t="s">
        <v>379</v>
      </c>
      <c r="C229" s="5" t="n">
        <v>94.7</v>
      </c>
    </row>
    <row r="230" customFormat="false" ht="15" hidden="false" customHeight="true" outlineLevel="0" collapsed="false">
      <c r="A230" s="38" t="s">
        <v>604</v>
      </c>
      <c r="B230" s="7" t="s">
        <v>376</v>
      </c>
      <c r="C230" s="8" t="n">
        <v>59.8</v>
      </c>
    </row>
    <row r="231" customFormat="false" ht="15" hidden="false" customHeight="true" outlineLevel="0" collapsed="false">
      <c r="A231" s="37" t="s">
        <v>605</v>
      </c>
      <c r="B231" s="4" t="s">
        <v>379</v>
      </c>
      <c r="C231" s="5" t="n">
        <v>61.6</v>
      </c>
    </row>
    <row r="232" customFormat="false" ht="15" hidden="false" customHeight="true" outlineLevel="0" collapsed="false">
      <c r="A232" s="38" t="s">
        <v>606</v>
      </c>
      <c r="B232" s="7" t="s">
        <v>376</v>
      </c>
      <c r="C232" s="8" t="n">
        <v>91.9</v>
      </c>
    </row>
    <row r="233" customFormat="false" ht="15" hidden="false" customHeight="true" outlineLevel="0" collapsed="false">
      <c r="A233" s="37" t="s">
        <v>607</v>
      </c>
      <c r="B233" s="4" t="s">
        <v>379</v>
      </c>
      <c r="C233" s="5" t="n">
        <v>49.8</v>
      </c>
    </row>
    <row r="234" customFormat="false" ht="15" hidden="false" customHeight="true" outlineLevel="0" collapsed="false">
      <c r="A234" s="38" t="s">
        <v>608</v>
      </c>
      <c r="B234" s="7" t="s">
        <v>376</v>
      </c>
      <c r="C234" s="8" t="n">
        <v>70.8</v>
      </c>
    </row>
    <row r="235" customFormat="false" ht="15" hidden="false" customHeight="true" outlineLevel="0" collapsed="false">
      <c r="A235" s="37" t="s">
        <v>609</v>
      </c>
      <c r="B235" s="4" t="s">
        <v>376</v>
      </c>
      <c r="C235" s="5" t="n">
        <v>86.7</v>
      </c>
    </row>
    <row r="236" customFormat="false" ht="15" hidden="false" customHeight="true" outlineLevel="0" collapsed="false">
      <c r="A236" s="38" t="s">
        <v>610</v>
      </c>
      <c r="B236" s="7" t="s">
        <v>379</v>
      </c>
      <c r="C236" s="8" t="n">
        <v>74.2</v>
      </c>
    </row>
    <row r="237" customFormat="false" ht="15" hidden="false" customHeight="true" outlineLevel="0" collapsed="false">
      <c r="A237" s="37" t="s">
        <v>611</v>
      </c>
      <c r="B237" s="4" t="s">
        <v>379</v>
      </c>
      <c r="C237" s="5" t="n">
        <v>59.6</v>
      </c>
    </row>
    <row r="238" customFormat="false" ht="15" hidden="false" customHeight="true" outlineLevel="0" collapsed="false">
      <c r="A238" s="38" t="s">
        <v>612</v>
      </c>
      <c r="B238" s="7" t="s">
        <v>376</v>
      </c>
      <c r="C238" s="8" t="n">
        <v>63.2</v>
      </c>
    </row>
    <row r="239" customFormat="false" ht="15" hidden="false" customHeight="true" outlineLevel="0" collapsed="false">
      <c r="A239" s="37" t="s">
        <v>613</v>
      </c>
      <c r="B239" s="4" t="s">
        <v>376</v>
      </c>
      <c r="C239" s="5" t="n">
        <v>91.8</v>
      </c>
    </row>
    <row r="240" customFormat="false" ht="15" hidden="false" customHeight="true" outlineLevel="0" collapsed="false">
      <c r="A240" s="38" t="s">
        <v>614</v>
      </c>
      <c r="B240" s="7" t="s">
        <v>376</v>
      </c>
      <c r="C240" s="8" t="n">
        <v>95.9</v>
      </c>
    </row>
    <row r="241" customFormat="false" ht="15" hidden="false" customHeight="true" outlineLevel="0" collapsed="false">
      <c r="A241" s="37" t="s">
        <v>615</v>
      </c>
      <c r="B241" s="4" t="s">
        <v>376</v>
      </c>
      <c r="C241" s="5" t="n">
        <v>87.8</v>
      </c>
    </row>
    <row r="242" customFormat="false" ht="15" hidden="false" customHeight="true" outlineLevel="0" collapsed="false">
      <c r="A242" s="38" t="s">
        <v>616</v>
      </c>
      <c r="B242" s="7" t="s">
        <v>376</v>
      </c>
      <c r="C242" s="8" t="n">
        <v>97.6</v>
      </c>
    </row>
    <row r="243" customFormat="false" ht="15" hidden="false" customHeight="true" outlineLevel="0" collapsed="false">
      <c r="A243" s="37" t="s">
        <v>617</v>
      </c>
      <c r="B243" s="4" t="s">
        <v>376</v>
      </c>
      <c r="C243" s="5" t="n">
        <v>78.7</v>
      </c>
    </row>
    <row r="244" customFormat="false" ht="15" hidden="false" customHeight="true" outlineLevel="0" collapsed="false">
      <c r="A244" s="38" t="s">
        <v>618</v>
      </c>
      <c r="B244" s="7" t="s">
        <v>379</v>
      </c>
      <c r="C244" s="8" t="n">
        <v>63.5</v>
      </c>
    </row>
    <row r="245" customFormat="false" ht="15" hidden="false" customHeight="true" outlineLevel="0" collapsed="false">
      <c r="A245" s="37" t="s">
        <v>619</v>
      </c>
      <c r="B245" s="4" t="s">
        <v>379</v>
      </c>
      <c r="C245" s="5" t="n">
        <v>75</v>
      </c>
    </row>
    <row r="246" customFormat="false" ht="15" hidden="false" customHeight="true" outlineLevel="0" collapsed="false">
      <c r="A246" s="38" t="s">
        <v>620</v>
      </c>
      <c r="B246" s="7" t="s">
        <v>376</v>
      </c>
      <c r="C246" s="8" t="n">
        <v>65.3</v>
      </c>
    </row>
    <row r="247" customFormat="false" ht="15" hidden="false" customHeight="true" outlineLevel="0" collapsed="false">
      <c r="A247" s="37" t="s">
        <v>621</v>
      </c>
      <c r="B247" s="4" t="s">
        <v>379</v>
      </c>
      <c r="C247" s="5" t="n">
        <v>32.5</v>
      </c>
    </row>
    <row r="248" customFormat="false" ht="15" hidden="false" customHeight="true" outlineLevel="0" collapsed="false">
      <c r="A248" s="38" t="s">
        <v>622</v>
      </c>
      <c r="B248" s="7" t="s">
        <v>379</v>
      </c>
      <c r="C248" s="8" t="n">
        <v>72</v>
      </c>
    </row>
    <row r="249" customFormat="false" ht="15" hidden="false" customHeight="true" outlineLevel="0" collapsed="false">
      <c r="A249" s="37" t="s">
        <v>623</v>
      </c>
      <c r="B249" s="4" t="s">
        <v>376</v>
      </c>
      <c r="C249" s="5" t="n">
        <v>84.8</v>
      </c>
    </row>
    <row r="250" customFormat="false" ht="15" hidden="false" customHeight="true" outlineLevel="0" collapsed="false">
      <c r="A250" s="38" t="s">
        <v>624</v>
      </c>
      <c r="B250" s="7" t="s">
        <v>379</v>
      </c>
      <c r="C250" s="8" t="n">
        <v>76.1</v>
      </c>
    </row>
    <row r="251" customFormat="false" ht="15" hidden="false" customHeight="true" outlineLevel="0" collapsed="false">
      <c r="A251" s="37" t="s">
        <v>625</v>
      </c>
      <c r="B251" s="4" t="s">
        <v>376</v>
      </c>
      <c r="C251" s="5" t="n">
        <v>70.3</v>
      </c>
    </row>
    <row r="252" customFormat="false" ht="15" hidden="false" customHeight="true" outlineLevel="0" collapsed="false">
      <c r="A252" s="38" t="s">
        <v>626</v>
      </c>
      <c r="B252" s="7" t="s">
        <v>376</v>
      </c>
      <c r="C252" s="8" t="n">
        <v>57.8</v>
      </c>
    </row>
    <row r="253" customFormat="false" ht="15" hidden="false" customHeight="true" outlineLevel="0" collapsed="false">
      <c r="A253" s="37" t="s">
        <v>627</v>
      </c>
      <c r="B253" s="4" t="s">
        <v>379</v>
      </c>
      <c r="C253" s="5" t="n">
        <v>97.5</v>
      </c>
    </row>
    <row r="254" customFormat="false" ht="15" hidden="false" customHeight="true" outlineLevel="0" collapsed="false">
      <c r="A254" s="38" t="s">
        <v>628</v>
      </c>
      <c r="B254" s="7" t="s">
        <v>376</v>
      </c>
      <c r="C254" s="8" t="n">
        <v>99.5</v>
      </c>
    </row>
    <row r="255" customFormat="false" ht="15" hidden="false" customHeight="true" outlineLevel="0" collapsed="false">
      <c r="A255" s="37" t="s">
        <v>629</v>
      </c>
      <c r="B255" s="4" t="s">
        <v>379</v>
      </c>
      <c r="C255" s="5" t="n">
        <v>59.2</v>
      </c>
    </row>
    <row r="256" customFormat="false" ht="15" hidden="false" customHeight="true" outlineLevel="0" collapsed="false">
      <c r="A256" s="38" t="s">
        <v>630</v>
      </c>
      <c r="B256" s="7" t="s">
        <v>376</v>
      </c>
      <c r="C256" s="8" t="n">
        <v>71.3</v>
      </c>
    </row>
    <row r="257" customFormat="false" ht="15" hidden="false" customHeight="true" outlineLevel="0" collapsed="false">
      <c r="A257" s="37" t="s">
        <v>631</v>
      </c>
      <c r="B257" s="4" t="s">
        <v>379</v>
      </c>
      <c r="C257" s="5" t="n">
        <v>48.4</v>
      </c>
    </row>
    <row r="258" customFormat="false" ht="15" hidden="false" customHeight="true" outlineLevel="0" collapsed="false">
      <c r="A258" s="38" t="s">
        <v>632</v>
      </c>
      <c r="B258" s="7" t="s">
        <v>376</v>
      </c>
      <c r="C258" s="8" t="n">
        <v>64.3</v>
      </c>
    </row>
    <row r="259" customFormat="false" ht="15" hidden="false" customHeight="true" outlineLevel="0" collapsed="false">
      <c r="A259" s="37" t="s">
        <v>633</v>
      </c>
      <c r="B259" s="4" t="s">
        <v>379</v>
      </c>
      <c r="C259" s="5" t="n">
        <v>42.9</v>
      </c>
    </row>
    <row r="260" customFormat="false" ht="15" hidden="false" customHeight="true" outlineLevel="0" collapsed="false">
      <c r="A260" s="38" t="s">
        <v>634</v>
      </c>
      <c r="B260" s="7" t="s">
        <v>379</v>
      </c>
      <c r="C260" s="8" t="n">
        <v>66.8</v>
      </c>
    </row>
    <row r="261" customFormat="false" ht="15" hidden="false" customHeight="true" outlineLevel="0" collapsed="false">
      <c r="A261" s="37" t="s">
        <v>635</v>
      </c>
      <c r="B261" s="4" t="s">
        <v>376</v>
      </c>
      <c r="C261" s="5" t="n">
        <v>86.4</v>
      </c>
    </row>
    <row r="262" customFormat="false" ht="15" hidden="false" customHeight="true" outlineLevel="0" collapsed="false">
      <c r="A262" s="38" t="s">
        <v>636</v>
      </c>
      <c r="B262" s="7" t="s">
        <v>379</v>
      </c>
      <c r="C262" s="8" t="n">
        <v>57.2</v>
      </c>
    </row>
    <row r="263" customFormat="false" ht="15" hidden="false" customHeight="true" outlineLevel="0" collapsed="false">
      <c r="A263" s="37" t="s">
        <v>637</v>
      </c>
      <c r="B263" s="4" t="s">
        <v>379</v>
      </c>
      <c r="C263" s="5" t="n">
        <v>51.1</v>
      </c>
    </row>
    <row r="264" customFormat="false" ht="15" hidden="false" customHeight="true" outlineLevel="0" collapsed="false">
      <c r="A264" s="38" t="s">
        <v>638</v>
      </c>
      <c r="B264" s="7" t="s">
        <v>379</v>
      </c>
      <c r="C264" s="8" t="n">
        <v>65.4</v>
      </c>
    </row>
    <row r="265" customFormat="false" ht="15" hidden="false" customHeight="true" outlineLevel="0" collapsed="false">
      <c r="A265" s="37" t="s">
        <v>639</v>
      </c>
      <c r="B265" s="4" t="s">
        <v>379</v>
      </c>
      <c r="C265" s="5" t="n">
        <v>81.8</v>
      </c>
    </row>
    <row r="266" customFormat="false" ht="15" hidden="false" customHeight="true" outlineLevel="0" collapsed="false">
      <c r="A266" s="38" t="s">
        <v>640</v>
      </c>
      <c r="B266" s="7" t="s">
        <v>379</v>
      </c>
      <c r="C266" s="8" t="n">
        <v>77</v>
      </c>
    </row>
    <row r="267" customFormat="false" ht="15" hidden="false" customHeight="true" outlineLevel="0" collapsed="false">
      <c r="A267" s="37" t="s">
        <v>641</v>
      </c>
      <c r="B267" s="4" t="s">
        <v>379</v>
      </c>
      <c r="C267" s="5" t="n">
        <v>69</v>
      </c>
    </row>
    <row r="268" customFormat="false" ht="15" hidden="false" customHeight="true" outlineLevel="0" collapsed="false">
      <c r="A268" s="38" t="s">
        <v>642</v>
      </c>
      <c r="B268" s="7" t="s">
        <v>379</v>
      </c>
      <c r="C268" s="8" t="n">
        <v>58.2</v>
      </c>
    </row>
    <row r="269" customFormat="false" ht="15" hidden="false" customHeight="true" outlineLevel="0" collapsed="false">
      <c r="A269" s="37" t="s">
        <v>643</v>
      </c>
      <c r="B269" s="4" t="s">
        <v>376</v>
      </c>
      <c r="C269" s="5" t="n">
        <v>58.3</v>
      </c>
    </row>
    <row r="270" customFormat="false" ht="15" hidden="false" customHeight="true" outlineLevel="0" collapsed="false">
      <c r="A270" s="38" t="s">
        <v>644</v>
      </c>
      <c r="B270" s="7" t="s">
        <v>376</v>
      </c>
      <c r="C270" s="8" t="n">
        <v>78.4</v>
      </c>
    </row>
    <row r="271" customFormat="false" ht="15" hidden="false" customHeight="true" outlineLevel="0" collapsed="false">
      <c r="A271" s="37" t="s">
        <v>645</v>
      </c>
      <c r="B271" s="4" t="s">
        <v>376</v>
      </c>
      <c r="C271" s="5" t="n">
        <v>76.5</v>
      </c>
    </row>
    <row r="272" customFormat="false" ht="15" hidden="false" customHeight="true" outlineLevel="0" collapsed="false">
      <c r="A272" s="38" t="s">
        <v>646</v>
      </c>
      <c r="B272" s="7" t="s">
        <v>379</v>
      </c>
      <c r="C272" s="8" t="n">
        <v>58.2</v>
      </c>
    </row>
    <row r="273" customFormat="false" ht="15" hidden="false" customHeight="true" outlineLevel="0" collapsed="false">
      <c r="A273" s="37" t="s">
        <v>647</v>
      </c>
      <c r="B273" s="4" t="s">
        <v>379</v>
      </c>
      <c r="C273" s="5" t="n">
        <v>93</v>
      </c>
    </row>
    <row r="274" customFormat="false" ht="15" hidden="false" customHeight="true" outlineLevel="0" collapsed="false">
      <c r="A274" s="38" t="s">
        <v>648</v>
      </c>
      <c r="B274" s="7" t="s">
        <v>376</v>
      </c>
      <c r="C274" s="8" t="n">
        <v>59.2</v>
      </c>
    </row>
    <row r="275" customFormat="false" ht="15" hidden="false" customHeight="true" outlineLevel="0" collapsed="false">
      <c r="A275" s="37" t="s">
        <v>649</v>
      </c>
      <c r="B275" s="4" t="s">
        <v>376</v>
      </c>
      <c r="C275" s="5" t="n">
        <v>90.2</v>
      </c>
    </row>
    <row r="276" customFormat="false" ht="15" hidden="false" customHeight="true" outlineLevel="0" collapsed="false">
      <c r="A276" s="38" t="s">
        <v>650</v>
      </c>
      <c r="B276" s="7" t="s">
        <v>376</v>
      </c>
      <c r="C276" s="8" t="n">
        <v>64.9</v>
      </c>
    </row>
    <row r="277" customFormat="false" ht="15" hidden="false" customHeight="true" outlineLevel="0" collapsed="false">
      <c r="A277" s="37" t="s">
        <v>651</v>
      </c>
      <c r="B277" s="4" t="s">
        <v>379</v>
      </c>
      <c r="C277" s="5" t="n">
        <v>52.2</v>
      </c>
    </row>
    <row r="278" customFormat="false" ht="15" hidden="false" customHeight="true" outlineLevel="0" collapsed="false">
      <c r="A278" s="38" t="s">
        <v>652</v>
      </c>
      <c r="B278" s="7" t="s">
        <v>379</v>
      </c>
      <c r="C278" s="8" t="n">
        <v>51.7</v>
      </c>
    </row>
    <row r="279" customFormat="false" ht="15" hidden="false" customHeight="true" outlineLevel="0" collapsed="false">
      <c r="A279" s="37" t="s">
        <v>653</v>
      </c>
      <c r="B279" s="4" t="s">
        <v>376</v>
      </c>
      <c r="C279" s="5" t="n">
        <v>77.3</v>
      </c>
    </row>
    <row r="280" customFormat="false" ht="15" hidden="false" customHeight="true" outlineLevel="0" collapsed="false">
      <c r="A280" s="38" t="s">
        <v>654</v>
      </c>
      <c r="B280" s="7" t="s">
        <v>376</v>
      </c>
      <c r="C280" s="8" t="n">
        <v>78.8</v>
      </c>
    </row>
    <row r="281" customFormat="false" ht="15" hidden="false" customHeight="true" outlineLevel="0" collapsed="false">
      <c r="A281" s="37" t="s">
        <v>655</v>
      </c>
      <c r="B281" s="4" t="s">
        <v>376</v>
      </c>
      <c r="C281" s="5" t="n">
        <v>50.4</v>
      </c>
    </row>
    <row r="282" customFormat="false" ht="15" hidden="false" customHeight="true" outlineLevel="0" collapsed="false">
      <c r="A282" s="38" t="s">
        <v>656</v>
      </c>
      <c r="B282" s="7" t="s">
        <v>376</v>
      </c>
      <c r="C282" s="8" t="n">
        <v>60.6</v>
      </c>
    </row>
    <row r="283" customFormat="false" ht="15" hidden="false" customHeight="true" outlineLevel="0" collapsed="false">
      <c r="A283" s="37" t="s">
        <v>657</v>
      </c>
      <c r="B283" s="4" t="s">
        <v>379</v>
      </c>
      <c r="C283" s="5" t="n">
        <v>52.4</v>
      </c>
    </row>
    <row r="284" customFormat="false" ht="15" hidden="false" customHeight="true" outlineLevel="0" collapsed="false">
      <c r="A284" s="38" t="s">
        <v>658</v>
      </c>
      <c r="B284" s="7" t="s">
        <v>376</v>
      </c>
      <c r="C284" s="8" t="n">
        <v>59.1</v>
      </c>
    </row>
    <row r="285" customFormat="false" ht="15" hidden="false" customHeight="true" outlineLevel="0" collapsed="false">
      <c r="A285" s="37" t="s">
        <v>659</v>
      </c>
      <c r="B285" s="4" t="s">
        <v>376</v>
      </c>
      <c r="C285" s="5" t="n">
        <v>77.5</v>
      </c>
    </row>
    <row r="286" customFormat="false" ht="15" hidden="false" customHeight="true" outlineLevel="0" collapsed="false">
      <c r="A286" s="38" t="s">
        <v>660</v>
      </c>
      <c r="B286" s="7" t="s">
        <v>379</v>
      </c>
      <c r="C286" s="8" t="n">
        <v>87.3</v>
      </c>
    </row>
    <row r="287" customFormat="false" ht="15" hidden="false" customHeight="true" outlineLevel="0" collapsed="false">
      <c r="A287" s="37" t="s">
        <v>661</v>
      </c>
      <c r="B287" s="4" t="s">
        <v>376</v>
      </c>
      <c r="C287" s="5" t="n">
        <v>63.8</v>
      </c>
    </row>
    <row r="288" customFormat="false" ht="15" hidden="false" customHeight="true" outlineLevel="0" collapsed="false">
      <c r="A288" s="38" t="s">
        <v>662</v>
      </c>
      <c r="B288" s="7" t="s">
        <v>376</v>
      </c>
      <c r="C288" s="8" t="n">
        <v>53.1</v>
      </c>
    </row>
    <row r="289" customFormat="false" ht="15" hidden="false" customHeight="true" outlineLevel="0" collapsed="false">
      <c r="A289" s="37" t="s">
        <v>663</v>
      </c>
      <c r="B289" s="4" t="s">
        <v>376</v>
      </c>
      <c r="C289" s="5" t="n">
        <v>57.7</v>
      </c>
    </row>
    <row r="290" customFormat="false" ht="15" hidden="false" customHeight="true" outlineLevel="0" collapsed="false">
      <c r="A290" s="38" t="s">
        <v>664</v>
      </c>
      <c r="B290" s="7" t="s">
        <v>379</v>
      </c>
      <c r="C290" s="8" t="n">
        <v>74.2</v>
      </c>
    </row>
    <row r="291" customFormat="false" ht="15" hidden="false" customHeight="true" outlineLevel="0" collapsed="false">
      <c r="A291" s="37" t="s">
        <v>665</v>
      </c>
      <c r="B291" s="4" t="s">
        <v>379</v>
      </c>
      <c r="C291" s="5" t="n">
        <v>71.5</v>
      </c>
    </row>
    <row r="292" customFormat="false" ht="15" hidden="false" customHeight="true" outlineLevel="0" collapsed="false">
      <c r="A292" s="38" t="s">
        <v>666</v>
      </c>
      <c r="B292" s="7" t="s">
        <v>376</v>
      </c>
      <c r="C292" s="8" t="n">
        <v>63</v>
      </c>
    </row>
    <row r="293" customFormat="false" ht="15" hidden="false" customHeight="true" outlineLevel="0" collapsed="false">
      <c r="A293" s="37" t="s">
        <v>667</v>
      </c>
      <c r="B293" s="4" t="s">
        <v>379</v>
      </c>
      <c r="C293" s="5" t="n">
        <v>68.1</v>
      </c>
    </row>
    <row r="294" customFormat="false" ht="15" hidden="false" customHeight="true" outlineLevel="0" collapsed="false">
      <c r="A294" s="38" t="s">
        <v>668</v>
      </c>
      <c r="B294" s="7" t="s">
        <v>379</v>
      </c>
      <c r="C294" s="8" t="n">
        <v>78</v>
      </c>
    </row>
    <row r="295" customFormat="false" ht="15" hidden="false" customHeight="true" outlineLevel="0" collapsed="false">
      <c r="A295" s="37" t="s">
        <v>669</v>
      </c>
      <c r="B295" s="4" t="s">
        <v>379</v>
      </c>
      <c r="C295" s="5" t="n">
        <v>63</v>
      </c>
    </row>
    <row r="296" customFormat="false" ht="15" hidden="false" customHeight="true" outlineLevel="0" collapsed="false">
      <c r="A296" s="38" t="s">
        <v>670</v>
      </c>
      <c r="B296" s="7" t="s">
        <v>376</v>
      </c>
      <c r="C296" s="8" t="n">
        <v>75.9</v>
      </c>
    </row>
    <row r="297" customFormat="false" ht="15" hidden="false" customHeight="true" outlineLevel="0" collapsed="false">
      <c r="A297" s="37" t="s">
        <v>671</v>
      </c>
      <c r="B297" s="4" t="s">
        <v>376</v>
      </c>
      <c r="C297" s="5" t="n">
        <v>71.1</v>
      </c>
    </row>
    <row r="298" customFormat="false" ht="15" hidden="false" customHeight="true" outlineLevel="0" collapsed="false">
      <c r="A298" s="38" t="s">
        <v>672</v>
      </c>
      <c r="B298" s="7" t="s">
        <v>376</v>
      </c>
      <c r="C298" s="8" t="n">
        <v>72.5</v>
      </c>
    </row>
    <row r="299" customFormat="false" ht="15" hidden="false" customHeight="true" outlineLevel="0" collapsed="false">
      <c r="A299" s="37" t="s">
        <v>673</v>
      </c>
      <c r="B299" s="4" t="s">
        <v>379</v>
      </c>
      <c r="C299" s="5" t="n">
        <v>62.9</v>
      </c>
    </row>
    <row r="300" customFormat="false" ht="15" hidden="false" customHeight="true" outlineLevel="0" collapsed="false">
      <c r="A300" s="38" t="s">
        <v>674</v>
      </c>
      <c r="B300" s="7" t="s">
        <v>376</v>
      </c>
      <c r="C300" s="8" t="n">
        <v>83.3</v>
      </c>
    </row>
    <row r="301" customFormat="false" ht="15" hidden="false" customHeight="true" outlineLevel="0" collapsed="false">
      <c r="A301" s="37" t="s">
        <v>675</v>
      </c>
      <c r="B301" s="4" t="s">
        <v>376</v>
      </c>
      <c r="C301" s="5" t="n">
        <v>78.5</v>
      </c>
    </row>
    <row r="302" customFormat="false" ht="15" hidden="false" customHeight="true" outlineLevel="0" collapsed="false">
      <c r="A302" s="38" t="s">
        <v>676</v>
      </c>
      <c r="B302" s="7" t="s">
        <v>376</v>
      </c>
      <c r="C302" s="8" t="n">
        <v>72</v>
      </c>
    </row>
    <row r="303" customFormat="false" ht="15" hidden="false" customHeight="true" outlineLevel="0" collapsed="false">
      <c r="A303" s="37" t="s">
        <v>677</v>
      </c>
      <c r="B303" s="4" t="s">
        <v>376</v>
      </c>
      <c r="C303" s="5" t="n">
        <v>72.8</v>
      </c>
    </row>
    <row r="304" customFormat="false" ht="15" hidden="false" customHeight="true" outlineLevel="0" collapsed="false">
      <c r="A304" s="38" t="s">
        <v>678</v>
      </c>
      <c r="B304" s="7" t="s">
        <v>379</v>
      </c>
      <c r="C304" s="8" t="n">
        <v>47.9</v>
      </c>
    </row>
    <row r="305" customFormat="false" ht="15" hidden="false" customHeight="true" outlineLevel="0" collapsed="false">
      <c r="A305" s="37" t="s">
        <v>679</v>
      </c>
      <c r="B305" s="4" t="s">
        <v>376</v>
      </c>
      <c r="C305" s="5" t="n">
        <v>86.1</v>
      </c>
    </row>
    <row r="306" customFormat="false" ht="15" hidden="false" customHeight="true" outlineLevel="0" collapsed="false">
      <c r="A306" s="38" t="s">
        <v>680</v>
      </c>
      <c r="B306" s="7" t="s">
        <v>379</v>
      </c>
      <c r="C306" s="8" t="n">
        <v>76.8</v>
      </c>
    </row>
    <row r="307" customFormat="false" ht="15" hidden="false" customHeight="true" outlineLevel="0" collapsed="false">
      <c r="A307" s="37" t="s">
        <v>681</v>
      </c>
      <c r="B307" s="4" t="s">
        <v>379</v>
      </c>
      <c r="C307" s="5" t="n">
        <v>76.5</v>
      </c>
    </row>
    <row r="308" customFormat="false" ht="15" hidden="false" customHeight="true" outlineLevel="0" collapsed="false">
      <c r="A308" s="38" t="s">
        <v>682</v>
      </c>
      <c r="B308" s="7" t="s">
        <v>379</v>
      </c>
      <c r="C308" s="8" t="n">
        <v>74.4</v>
      </c>
    </row>
    <row r="309" customFormat="false" ht="15" hidden="false" customHeight="true" outlineLevel="0" collapsed="false">
      <c r="A309" s="37" t="s">
        <v>683</v>
      </c>
      <c r="B309" s="4" t="s">
        <v>379</v>
      </c>
      <c r="C309" s="5" t="n">
        <v>36.8</v>
      </c>
    </row>
    <row r="310" customFormat="false" ht="15" hidden="false" customHeight="true" outlineLevel="0" collapsed="false">
      <c r="A310" s="38" t="s">
        <v>684</v>
      </c>
      <c r="B310" s="7" t="s">
        <v>379</v>
      </c>
      <c r="C310" s="8" t="n">
        <v>88.2</v>
      </c>
    </row>
    <row r="311" customFormat="false" ht="15" hidden="false" customHeight="true" outlineLevel="0" collapsed="false">
      <c r="A311" s="37" t="s">
        <v>685</v>
      </c>
      <c r="B311" s="4" t="s">
        <v>379</v>
      </c>
      <c r="C311" s="5" t="n">
        <v>68.5</v>
      </c>
    </row>
    <row r="312" customFormat="false" ht="15" hidden="false" customHeight="true" outlineLevel="0" collapsed="false">
      <c r="A312" s="38" t="s">
        <v>686</v>
      </c>
      <c r="B312" s="7" t="s">
        <v>376</v>
      </c>
      <c r="C312" s="8" t="n">
        <v>69.6</v>
      </c>
    </row>
    <row r="313" customFormat="false" ht="15" hidden="false" customHeight="true" outlineLevel="0" collapsed="false">
      <c r="A313" s="37" t="s">
        <v>687</v>
      </c>
      <c r="B313" s="4" t="s">
        <v>379</v>
      </c>
      <c r="C313" s="5" t="n">
        <v>75.5</v>
      </c>
    </row>
    <row r="314" customFormat="false" ht="15" hidden="false" customHeight="true" outlineLevel="0" collapsed="false">
      <c r="A314" s="38" t="s">
        <v>688</v>
      </c>
      <c r="B314" s="7" t="s">
        <v>379</v>
      </c>
      <c r="C314" s="8" t="n">
        <v>74.3</v>
      </c>
    </row>
    <row r="315" customFormat="false" ht="15" hidden="false" customHeight="true" outlineLevel="0" collapsed="false">
      <c r="A315" s="37" t="s">
        <v>689</v>
      </c>
      <c r="B315" s="4" t="s">
        <v>379</v>
      </c>
      <c r="C315" s="5" t="n">
        <v>68.4</v>
      </c>
    </row>
    <row r="316" customFormat="false" ht="15" hidden="false" customHeight="true" outlineLevel="0" collapsed="false">
      <c r="A316" s="38" t="s">
        <v>690</v>
      </c>
      <c r="B316" s="7" t="s">
        <v>376</v>
      </c>
      <c r="C316" s="8" t="n">
        <v>86.3</v>
      </c>
    </row>
    <row r="317" customFormat="false" ht="15" hidden="false" customHeight="true" outlineLevel="0" collapsed="false">
      <c r="A317" s="37" t="s">
        <v>691</v>
      </c>
      <c r="B317" s="4" t="s">
        <v>376</v>
      </c>
      <c r="C317" s="5" t="n">
        <v>41.5</v>
      </c>
    </row>
    <row r="318" customFormat="false" ht="15" hidden="false" customHeight="true" outlineLevel="0" collapsed="false">
      <c r="A318" s="38" t="s">
        <v>692</v>
      </c>
      <c r="B318" s="7" t="s">
        <v>376</v>
      </c>
      <c r="C318" s="8" t="n">
        <v>74.9</v>
      </c>
    </row>
    <row r="319" customFormat="false" ht="15" hidden="false" customHeight="true" outlineLevel="0" collapsed="false">
      <c r="A319" s="37" t="s">
        <v>693</v>
      </c>
      <c r="B319" s="4" t="s">
        <v>376</v>
      </c>
      <c r="C319" s="5" t="n">
        <v>81.7</v>
      </c>
    </row>
    <row r="320" customFormat="false" ht="15" hidden="false" customHeight="true" outlineLevel="0" collapsed="false">
      <c r="A320" s="38" t="s">
        <v>694</v>
      </c>
      <c r="B320" s="7" t="s">
        <v>376</v>
      </c>
      <c r="C320" s="8" t="n">
        <v>65</v>
      </c>
    </row>
    <row r="321" customFormat="false" ht="15" hidden="false" customHeight="true" outlineLevel="0" collapsed="false">
      <c r="A321" s="37" t="s">
        <v>695</v>
      </c>
      <c r="B321" s="4" t="s">
        <v>376</v>
      </c>
      <c r="C321" s="5" t="n">
        <v>63.4</v>
      </c>
    </row>
    <row r="322" customFormat="false" ht="15" hidden="false" customHeight="true" outlineLevel="0" collapsed="false">
      <c r="A322" s="38" t="s">
        <v>696</v>
      </c>
      <c r="B322" s="7" t="s">
        <v>376</v>
      </c>
      <c r="C322" s="8" t="n">
        <v>91.3</v>
      </c>
    </row>
    <row r="323" customFormat="false" ht="15" hidden="false" customHeight="true" outlineLevel="0" collapsed="false">
      <c r="A323" s="37" t="s">
        <v>697</v>
      </c>
      <c r="B323" s="4" t="s">
        <v>376</v>
      </c>
      <c r="C323" s="5" t="n">
        <v>64.4</v>
      </c>
    </row>
    <row r="324" customFormat="false" ht="15" hidden="false" customHeight="true" outlineLevel="0" collapsed="false">
      <c r="A324" s="38" t="s">
        <v>698</v>
      </c>
      <c r="B324" s="7" t="s">
        <v>376</v>
      </c>
      <c r="C324" s="8" t="n">
        <v>70.4</v>
      </c>
    </row>
    <row r="325" customFormat="false" ht="15" hidden="false" customHeight="true" outlineLevel="0" collapsed="false">
      <c r="A325" s="37" t="s">
        <v>699</v>
      </c>
      <c r="B325" s="4" t="s">
        <v>376</v>
      </c>
      <c r="C325" s="5" t="n">
        <v>56.2</v>
      </c>
    </row>
    <row r="326" customFormat="false" ht="15" hidden="false" customHeight="true" outlineLevel="0" collapsed="false">
      <c r="A326" s="38" t="s">
        <v>700</v>
      </c>
      <c r="B326" s="7" t="s">
        <v>376</v>
      </c>
      <c r="C326" s="8" t="n">
        <v>83.4</v>
      </c>
    </row>
    <row r="327" customFormat="false" ht="15" hidden="false" customHeight="true" outlineLevel="0" collapsed="false">
      <c r="A327" s="37" t="s">
        <v>701</v>
      </c>
      <c r="B327" s="4" t="s">
        <v>376</v>
      </c>
      <c r="C327" s="5" t="n">
        <v>67.8</v>
      </c>
    </row>
    <row r="328" customFormat="false" ht="15" hidden="false" customHeight="true" outlineLevel="0" collapsed="false">
      <c r="A328" s="38" t="s">
        <v>702</v>
      </c>
      <c r="B328" s="7" t="s">
        <v>376</v>
      </c>
      <c r="C328" s="8" t="n">
        <v>60.6</v>
      </c>
    </row>
    <row r="329" customFormat="false" ht="15" hidden="false" customHeight="true" outlineLevel="0" collapsed="false">
      <c r="A329" s="37" t="s">
        <v>703</v>
      </c>
      <c r="B329" s="4" t="s">
        <v>376</v>
      </c>
      <c r="C329" s="5" t="n">
        <v>68.1</v>
      </c>
    </row>
    <row r="330" customFormat="false" ht="15" hidden="false" customHeight="true" outlineLevel="0" collapsed="false">
      <c r="A330" s="38" t="s">
        <v>704</v>
      </c>
      <c r="B330" s="7" t="s">
        <v>376</v>
      </c>
      <c r="C330" s="8" t="n">
        <v>83.8</v>
      </c>
    </row>
    <row r="331" customFormat="false" ht="15" hidden="false" customHeight="true" outlineLevel="0" collapsed="false">
      <c r="A331" s="37" t="s">
        <v>705</v>
      </c>
      <c r="B331" s="4" t="s">
        <v>376</v>
      </c>
      <c r="C331" s="5" t="n">
        <v>100</v>
      </c>
    </row>
    <row r="332" customFormat="false" ht="15" hidden="false" customHeight="true" outlineLevel="0" collapsed="false">
      <c r="A332" s="38" t="s">
        <v>706</v>
      </c>
      <c r="B332" s="7" t="s">
        <v>379</v>
      </c>
      <c r="C332" s="8" t="n">
        <v>71.4</v>
      </c>
    </row>
    <row r="333" customFormat="false" ht="15" hidden="false" customHeight="true" outlineLevel="0" collapsed="false">
      <c r="A333" s="37" t="s">
        <v>707</v>
      </c>
      <c r="B333" s="4" t="s">
        <v>379</v>
      </c>
      <c r="C333" s="5" t="n">
        <v>61.4</v>
      </c>
    </row>
    <row r="334" customFormat="false" ht="15" hidden="false" customHeight="true" outlineLevel="0" collapsed="false">
      <c r="A334" s="38" t="s">
        <v>708</v>
      </c>
      <c r="B334" s="7" t="s">
        <v>376</v>
      </c>
      <c r="C334" s="8" t="n">
        <v>53.7</v>
      </c>
    </row>
    <row r="335" customFormat="false" ht="15" hidden="false" customHeight="true" outlineLevel="0" collapsed="false">
      <c r="A335" s="37" t="s">
        <v>709</v>
      </c>
      <c r="B335" s="4" t="s">
        <v>379</v>
      </c>
      <c r="C335" s="5" t="n">
        <v>75.3</v>
      </c>
    </row>
    <row r="336" customFormat="false" ht="15" hidden="false" customHeight="true" outlineLevel="0" collapsed="false">
      <c r="A336" s="38" t="s">
        <v>710</v>
      </c>
      <c r="B336" s="7" t="s">
        <v>376</v>
      </c>
      <c r="C336" s="8" t="n">
        <v>72.1</v>
      </c>
    </row>
    <row r="337" customFormat="false" ht="15" hidden="false" customHeight="true" outlineLevel="0" collapsed="false">
      <c r="A337" s="37" t="s">
        <v>711</v>
      </c>
      <c r="B337" s="4" t="s">
        <v>376</v>
      </c>
      <c r="C337" s="5" t="n">
        <v>100</v>
      </c>
    </row>
    <row r="338" customFormat="false" ht="15" hidden="false" customHeight="true" outlineLevel="0" collapsed="false">
      <c r="A338" s="38" t="s">
        <v>712</v>
      </c>
      <c r="B338" s="7" t="s">
        <v>379</v>
      </c>
      <c r="C338" s="8" t="n">
        <v>52.4</v>
      </c>
    </row>
    <row r="339" customFormat="false" ht="15" hidden="false" customHeight="true" outlineLevel="0" collapsed="false">
      <c r="A339" s="37" t="s">
        <v>713</v>
      </c>
      <c r="B339" s="4" t="s">
        <v>379</v>
      </c>
      <c r="C339" s="5" t="n">
        <v>72.8</v>
      </c>
    </row>
    <row r="340" customFormat="false" ht="15" hidden="false" customHeight="true" outlineLevel="0" collapsed="false">
      <c r="A340" s="38" t="s">
        <v>714</v>
      </c>
      <c r="B340" s="7" t="s">
        <v>379</v>
      </c>
      <c r="C340" s="8" t="n">
        <v>75.5</v>
      </c>
    </row>
    <row r="341" customFormat="false" ht="15" hidden="false" customHeight="true" outlineLevel="0" collapsed="false">
      <c r="A341" s="37" t="s">
        <v>715</v>
      </c>
      <c r="B341" s="4" t="s">
        <v>379</v>
      </c>
      <c r="C341" s="5" t="n">
        <v>63.2</v>
      </c>
    </row>
    <row r="342" customFormat="false" ht="15" hidden="false" customHeight="true" outlineLevel="0" collapsed="false">
      <c r="A342" s="38" t="s">
        <v>716</v>
      </c>
      <c r="B342" s="7" t="s">
        <v>379</v>
      </c>
      <c r="C342" s="8" t="n">
        <v>78.2</v>
      </c>
    </row>
    <row r="343" customFormat="false" ht="15" hidden="false" customHeight="true" outlineLevel="0" collapsed="false">
      <c r="A343" s="37" t="s">
        <v>717</v>
      </c>
      <c r="B343" s="4" t="s">
        <v>376</v>
      </c>
      <c r="C343" s="5" t="n">
        <v>65.6</v>
      </c>
    </row>
    <row r="344" customFormat="false" ht="15" hidden="false" customHeight="true" outlineLevel="0" collapsed="false">
      <c r="A344" s="38" t="s">
        <v>718</v>
      </c>
      <c r="B344" s="7" t="s">
        <v>379</v>
      </c>
      <c r="C344" s="8" t="n">
        <v>51.6</v>
      </c>
    </row>
    <row r="345" customFormat="false" ht="15" hidden="false" customHeight="true" outlineLevel="0" collapsed="false">
      <c r="A345" s="37" t="s">
        <v>719</v>
      </c>
      <c r="B345" s="4" t="s">
        <v>376</v>
      </c>
      <c r="C345" s="5" t="n">
        <v>70.9</v>
      </c>
    </row>
    <row r="346" customFormat="false" ht="15" hidden="false" customHeight="true" outlineLevel="0" collapsed="false">
      <c r="A346" s="38" t="s">
        <v>720</v>
      </c>
      <c r="B346" s="7" t="s">
        <v>379</v>
      </c>
      <c r="C346" s="8" t="n">
        <v>53.4</v>
      </c>
    </row>
    <row r="347" customFormat="false" ht="15" hidden="false" customHeight="true" outlineLevel="0" collapsed="false">
      <c r="A347" s="37" t="s">
        <v>721</v>
      </c>
      <c r="B347" s="4" t="s">
        <v>376</v>
      </c>
      <c r="C347" s="5" t="n">
        <v>92.3</v>
      </c>
    </row>
    <row r="348" customFormat="false" ht="15" hidden="false" customHeight="true" outlineLevel="0" collapsed="false">
      <c r="A348" s="38" t="s">
        <v>722</v>
      </c>
      <c r="B348" s="7" t="s">
        <v>379</v>
      </c>
      <c r="C348" s="8" t="n">
        <v>72.2</v>
      </c>
    </row>
    <row r="349" customFormat="false" ht="15" hidden="false" customHeight="true" outlineLevel="0" collapsed="false">
      <c r="A349" s="37" t="s">
        <v>723</v>
      </c>
      <c r="B349" s="4" t="s">
        <v>376</v>
      </c>
      <c r="C349" s="5" t="n">
        <v>84.4</v>
      </c>
    </row>
    <row r="350" customFormat="false" ht="15" hidden="false" customHeight="true" outlineLevel="0" collapsed="false">
      <c r="A350" s="38" t="s">
        <v>724</v>
      </c>
      <c r="B350" s="7" t="s">
        <v>376</v>
      </c>
      <c r="C350" s="8" t="n">
        <v>82.9</v>
      </c>
    </row>
    <row r="351" customFormat="false" ht="15" hidden="false" customHeight="true" outlineLevel="0" collapsed="false">
      <c r="A351" s="37" t="s">
        <v>725</v>
      </c>
      <c r="B351" s="4" t="s">
        <v>376</v>
      </c>
      <c r="C351" s="5" t="n">
        <v>68.4</v>
      </c>
    </row>
    <row r="352" customFormat="false" ht="15" hidden="false" customHeight="true" outlineLevel="0" collapsed="false">
      <c r="A352" s="38" t="s">
        <v>726</v>
      </c>
      <c r="B352" s="7" t="s">
        <v>379</v>
      </c>
      <c r="C352" s="8" t="n">
        <v>78.4</v>
      </c>
    </row>
    <row r="353" customFormat="false" ht="15" hidden="false" customHeight="true" outlineLevel="0" collapsed="false">
      <c r="A353" s="37" t="s">
        <v>727</v>
      </c>
      <c r="B353" s="4" t="s">
        <v>376</v>
      </c>
      <c r="C353" s="5" t="n">
        <v>83.1</v>
      </c>
    </row>
    <row r="354" customFormat="false" ht="15" hidden="false" customHeight="true" outlineLevel="0" collapsed="false">
      <c r="A354" s="38" t="s">
        <v>728</v>
      </c>
      <c r="B354" s="7" t="s">
        <v>379</v>
      </c>
      <c r="C354" s="8" t="n">
        <v>81.1</v>
      </c>
    </row>
    <row r="355" customFormat="false" ht="15" hidden="false" customHeight="true" outlineLevel="0" collapsed="false">
      <c r="A355" s="37" t="s">
        <v>729</v>
      </c>
      <c r="B355" s="4" t="s">
        <v>376</v>
      </c>
      <c r="C355" s="5" t="n">
        <v>61.5</v>
      </c>
    </row>
    <row r="356" customFormat="false" ht="15" hidden="false" customHeight="true" outlineLevel="0" collapsed="false">
      <c r="A356" s="38" t="s">
        <v>730</v>
      </c>
      <c r="B356" s="7" t="s">
        <v>379</v>
      </c>
      <c r="C356" s="8" t="n">
        <v>70.3</v>
      </c>
    </row>
    <row r="357" customFormat="false" ht="15" hidden="false" customHeight="true" outlineLevel="0" collapsed="false">
      <c r="A357" s="37" t="s">
        <v>731</v>
      </c>
      <c r="B357" s="4" t="s">
        <v>376</v>
      </c>
      <c r="C357" s="5" t="n">
        <v>71.9</v>
      </c>
    </row>
    <row r="358" customFormat="false" ht="15" hidden="false" customHeight="true" outlineLevel="0" collapsed="false">
      <c r="A358" s="38" t="s">
        <v>732</v>
      </c>
      <c r="B358" s="7" t="s">
        <v>376</v>
      </c>
      <c r="C358" s="8" t="n">
        <v>48.9</v>
      </c>
    </row>
    <row r="359" customFormat="false" ht="15" hidden="false" customHeight="true" outlineLevel="0" collapsed="false">
      <c r="A359" s="37" t="s">
        <v>733</v>
      </c>
      <c r="B359" s="4" t="s">
        <v>379</v>
      </c>
      <c r="C359" s="5" t="n">
        <v>84.5</v>
      </c>
    </row>
    <row r="360" customFormat="false" ht="15" hidden="false" customHeight="true" outlineLevel="0" collapsed="false">
      <c r="A360" s="38" t="s">
        <v>734</v>
      </c>
      <c r="B360" s="7" t="s">
        <v>376</v>
      </c>
      <c r="C360" s="8" t="n">
        <v>67.5</v>
      </c>
    </row>
    <row r="361" customFormat="false" ht="15" hidden="false" customHeight="true" outlineLevel="0" collapsed="false">
      <c r="A361" s="37" t="s">
        <v>735</v>
      </c>
      <c r="B361" s="4" t="s">
        <v>376</v>
      </c>
      <c r="C361" s="5" t="n">
        <v>83</v>
      </c>
    </row>
    <row r="362" customFormat="false" ht="15" hidden="false" customHeight="true" outlineLevel="0" collapsed="false">
      <c r="A362" s="38" t="s">
        <v>736</v>
      </c>
      <c r="B362" s="7" t="s">
        <v>376</v>
      </c>
      <c r="C362" s="8" t="n">
        <v>50.8</v>
      </c>
    </row>
    <row r="363" customFormat="false" ht="15" hidden="false" customHeight="true" outlineLevel="0" collapsed="false">
      <c r="A363" s="37" t="s">
        <v>737</v>
      </c>
      <c r="B363" s="4" t="s">
        <v>376</v>
      </c>
      <c r="C363" s="5" t="n">
        <v>73.8</v>
      </c>
    </row>
    <row r="364" customFormat="false" ht="15" hidden="false" customHeight="true" outlineLevel="0" collapsed="false">
      <c r="A364" s="38" t="s">
        <v>738</v>
      </c>
      <c r="B364" s="7" t="s">
        <v>379</v>
      </c>
      <c r="C364" s="8" t="n">
        <v>80.2</v>
      </c>
    </row>
    <row r="365" customFormat="false" ht="15" hidden="false" customHeight="true" outlineLevel="0" collapsed="false">
      <c r="A365" s="37" t="s">
        <v>739</v>
      </c>
      <c r="B365" s="4" t="s">
        <v>379</v>
      </c>
      <c r="C365" s="5" t="n">
        <v>63.5</v>
      </c>
    </row>
    <row r="366" customFormat="false" ht="15" hidden="false" customHeight="true" outlineLevel="0" collapsed="false">
      <c r="A366" s="38" t="s">
        <v>740</v>
      </c>
      <c r="B366" s="7" t="s">
        <v>379</v>
      </c>
      <c r="C366" s="8" t="n">
        <v>58.9</v>
      </c>
    </row>
    <row r="367" customFormat="false" ht="15" hidden="false" customHeight="true" outlineLevel="0" collapsed="false">
      <c r="A367" s="37" t="s">
        <v>741</v>
      </c>
      <c r="B367" s="4" t="s">
        <v>379</v>
      </c>
      <c r="C367" s="5" t="n">
        <v>71.3</v>
      </c>
    </row>
    <row r="368" customFormat="false" ht="15" hidden="false" customHeight="true" outlineLevel="0" collapsed="false">
      <c r="A368" s="38" t="s">
        <v>742</v>
      </c>
      <c r="B368" s="7" t="s">
        <v>376</v>
      </c>
      <c r="C368" s="8" t="n">
        <v>68.8</v>
      </c>
    </row>
    <row r="369" customFormat="false" ht="15" hidden="false" customHeight="true" outlineLevel="0" collapsed="false">
      <c r="A369" s="37" t="s">
        <v>743</v>
      </c>
      <c r="B369" s="4" t="s">
        <v>379</v>
      </c>
      <c r="C369" s="5" t="n">
        <v>93.9</v>
      </c>
    </row>
    <row r="370" customFormat="false" ht="15" hidden="false" customHeight="true" outlineLevel="0" collapsed="false">
      <c r="A370" s="38" t="s">
        <v>744</v>
      </c>
      <c r="B370" s="7" t="s">
        <v>379</v>
      </c>
      <c r="C370" s="8" t="n">
        <v>62.2</v>
      </c>
    </row>
    <row r="371" customFormat="false" ht="15" hidden="false" customHeight="true" outlineLevel="0" collapsed="false">
      <c r="A371" s="37" t="s">
        <v>745</v>
      </c>
      <c r="B371" s="4" t="s">
        <v>379</v>
      </c>
      <c r="C371" s="5" t="n">
        <v>66.6</v>
      </c>
    </row>
    <row r="372" customFormat="false" ht="15" hidden="false" customHeight="true" outlineLevel="0" collapsed="false">
      <c r="A372" s="38" t="s">
        <v>746</v>
      </c>
      <c r="B372" s="7" t="s">
        <v>379</v>
      </c>
      <c r="C372" s="8" t="n">
        <v>63.2</v>
      </c>
    </row>
    <row r="373" customFormat="false" ht="15" hidden="false" customHeight="true" outlineLevel="0" collapsed="false">
      <c r="A373" s="37" t="s">
        <v>747</v>
      </c>
      <c r="B373" s="4" t="s">
        <v>376</v>
      </c>
      <c r="C373" s="5" t="n">
        <v>64.2</v>
      </c>
    </row>
    <row r="374" customFormat="false" ht="15" hidden="false" customHeight="true" outlineLevel="0" collapsed="false">
      <c r="A374" s="38" t="s">
        <v>748</v>
      </c>
      <c r="B374" s="7" t="s">
        <v>376</v>
      </c>
      <c r="C374" s="8" t="n">
        <v>61.4</v>
      </c>
    </row>
    <row r="375" customFormat="false" ht="15" hidden="false" customHeight="true" outlineLevel="0" collapsed="false">
      <c r="A375" s="37" t="s">
        <v>749</v>
      </c>
      <c r="B375" s="4" t="s">
        <v>376</v>
      </c>
      <c r="C375" s="5" t="n">
        <v>62.8</v>
      </c>
    </row>
    <row r="376" customFormat="false" ht="15" hidden="false" customHeight="true" outlineLevel="0" collapsed="false">
      <c r="A376" s="38" t="s">
        <v>750</v>
      </c>
      <c r="B376" s="7" t="s">
        <v>379</v>
      </c>
      <c r="C376" s="8" t="n">
        <v>70.7</v>
      </c>
    </row>
    <row r="377" customFormat="false" ht="15" hidden="false" customHeight="true" outlineLevel="0" collapsed="false">
      <c r="A377" s="37" t="s">
        <v>751</v>
      </c>
      <c r="B377" s="4" t="s">
        <v>376</v>
      </c>
      <c r="C377" s="5" t="n">
        <v>54.6</v>
      </c>
    </row>
    <row r="378" customFormat="false" ht="15" hidden="false" customHeight="true" outlineLevel="0" collapsed="false">
      <c r="A378" s="38" t="s">
        <v>752</v>
      </c>
      <c r="B378" s="7" t="s">
        <v>379</v>
      </c>
      <c r="C378" s="8" t="n">
        <v>60.1</v>
      </c>
    </row>
    <row r="379" customFormat="false" ht="15" hidden="false" customHeight="true" outlineLevel="0" collapsed="false">
      <c r="A379" s="37" t="s">
        <v>753</v>
      </c>
      <c r="B379" s="4" t="s">
        <v>376</v>
      </c>
      <c r="C379" s="5" t="n">
        <v>84.9</v>
      </c>
    </row>
    <row r="380" customFormat="false" ht="15" hidden="false" customHeight="true" outlineLevel="0" collapsed="false">
      <c r="A380" s="38" t="s">
        <v>754</v>
      </c>
      <c r="B380" s="7" t="s">
        <v>379</v>
      </c>
      <c r="C380" s="8" t="n">
        <v>72.6</v>
      </c>
    </row>
    <row r="381" customFormat="false" ht="15" hidden="false" customHeight="true" outlineLevel="0" collapsed="false">
      <c r="A381" s="37" t="s">
        <v>755</v>
      </c>
      <c r="B381" s="4" t="s">
        <v>376</v>
      </c>
      <c r="C381" s="5" t="n">
        <v>48.8</v>
      </c>
    </row>
    <row r="382" customFormat="false" ht="15" hidden="false" customHeight="true" outlineLevel="0" collapsed="false">
      <c r="A382" s="38" t="s">
        <v>756</v>
      </c>
      <c r="B382" s="7" t="s">
        <v>376</v>
      </c>
      <c r="C382" s="8" t="n">
        <v>69.6</v>
      </c>
    </row>
    <row r="383" customFormat="false" ht="15" hidden="false" customHeight="true" outlineLevel="0" collapsed="false">
      <c r="A383" s="37" t="s">
        <v>757</v>
      </c>
      <c r="B383" s="4" t="s">
        <v>376</v>
      </c>
      <c r="C383" s="5" t="n">
        <v>46.7</v>
      </c>
    </row>
    <row r="384" customFormat="false" ht="15" hidden="false" customHeight="true" outlineLevel="0" collapsed="false">
      <c r="A384" s="38" t="s">
        <v>758</v>
      </c>
      <c r="B384" s="7" t="s">
        <v>376</v>
      </c>
      <c r="C384" s="8" t="n">
        <v>74</v>
      </c>
    </row>
    <row r="385" customFormat="false" ht="15" hidden="false" customHeight="true" outlineLevel="0" collapsed="false">
      <c r="A385" s="37" t="s">
        <v>759</v>
      </c>
      <c r="B385" s="4" t="s">
        <v>379</v>
      </c>
      <c r="C385" s="5" t="n">
        <v>84.6</v>
      </c>
    </row>
    <row r="386" customFormat="false" ht="15" hidden="false" customHeight="true" outlineLevel="0" collapsed="false">
      <c r="A386" s="38" t="s">
        <v>760</v>
      </c>
      <c r="B386" s="7" t="s">
        <v>379</v>
      </c>
      <c r="C386" s="8" t="n">
        <v>50.4</v>
      </c>
    </row>
    <row r="387" customFormat="false" ht="15" hidden="false" customHeight="true" outlineLevel="0" collapsed="false">
      <c r="A387" s="37" t="s">
        <v>761</v>
      </c>
      <c r="B387" s="4" t="s">
        <v>379</v>
      </c>
      <c r="C387" s="5" t="n">
        <v>48.2</v>
      </c>
    </row>
    <row r="388" customFormat="false" ht="15" hidden="false" customHeight="true" outlineLevel="0" collapsed="false">
      <c r="A388" s="38" t="s">
        <v>762</v>
      </c>
      <c r="B388" s="7" t="s">
        <v>376</v>
      </c>
      <c r="C388" s="8" t="n">
        <v>64.1</v>
      </c>
    </row>
    <row r="389" customFormat="false" ht="15" hidden="false" customHeight="true" outlineLevel="0" collapsed="false">
      <c r="A389" s="37" t="s">
        <v>763</v>
      </c>
      <c r="B389" s="4" t="s">
        <v>379</v>
      </c>
      <c r="C389" s="5" t="n">
        <v>72.7</v>
      </c>
    </row>
    <row r="390" customFormat="false" ht="15" hidden="false" customHeight="true" outlineLevel="0" collapsed="false">
      <c r="A390" s="38" t="s">
        <v>764</v>
      </c>
      <c r="B390" s="7" t="s">
        <v>376</v>
      </c>
      <c r="C390" s="8" t="n">
        <v>83.9</v>
      </c>
    </row>
    <row r="391" customFormat="false" ht="15" hidden="false" customHeight="true" outlineLevel="0" collapsed="false">
      <c r="A391" s="37" t="s">
        <v>765</v>
      </c>
      <c r="B391" s="4" t="s">
        <v>379</v>
      </c>
      <c r="C391" s="5" t="n">
        <v>80.4</v>
      </c>
    </row>
    <row r="392" customFormat="false" ht="15" hidden="false" customHeight="true" outlineLevel="0" collapsed="false">
      <c r="A392" s="38" t="s">
        <v>766</v>
      </c>
      <c r="B392" s="7" t="s">
        <v>376</v>
      </c>
      <c r="C392" s="8" t="n">
        <v>73.5</v>
      </c>
    </row>
    <row r="393" customFormat="false" ht="15" hidden="false" customHeight="true" outlineLevel="0" collapsed="false">
      <c r="A393" s="37" t="s">
        <v>767</v>
      </c>
      <c r="B393" s="4" t="s">
        <v>376</v>
      </c>
      <c r="C393" s="5" t="n">
        <v>72.5</v>
      </c>
    </row>
    <row r="394" customFormat="false" ht="15" hidden="false" customHeight="true" outlineLevel="0" collapsed="false">
      <c r="A394" s="38" t="s">
        <v>768</v>
      </c>
      <c r="B394" s="7" t="s">
        <v>379</v>
      </c>
      <c r="C394" s="8" t="n">
        <v>51.2</v>
      </c>
    </row>
    <row r="395" customFormat="false" ht="15" hidden="false" customHeight="true" outlineLevel="0" collapsed="false">
      <c r="A395" s="37" t="s">
        <v>769</v>
      </c>
      <c r="B395" s="4" t="s">
        <v>376</v>
      </c>
      <c r="C395" s="5" t="n">
        <v>81.7</v>
      </c>
    </row>
    <row r="396" customFormat="false" ht="15" hidden="false" customHeight="true" outlineLevel="0" collapsed="false">
      <c r="A396" s="38" t="s">
        <v>770</v>
      </c>
      <c r="B396" s="7" t="s">
        <v>379</v>
      </c>
      <c r="C396" s="8" t="n">
        <v>73.6</v>
      </c>
    </row>
    <row r="397" customFormat="false" ht="15" hidden="false" customHeight="true" outlineLevel="0" collapsed="false">
      <c r="A397" s="37" t="s">
        <v>771</v>
      </c>
      <c r="B397" s="4" t="s">
        <v>379</v>
      </c>
      <c r="C397" s="5" t="n">
        <v>52.9</v>
      </c>
    </row>
    <row r="398" customFormat="false" ht="15" hidden="false" customHeight="true" outlineLevel="0" collapsed="false">
      <c r="A398" s="38" t="s">
        <v>772</v>
      </c>
      <c r="B398" s="7" t="s">
        <v>379</v>
      </c>
      <c r="C398" s="8" t="n">
        <v>65.8</v>
      </c>
    </row>
    <row r="399" customFormat="false" ht="15" hidden="false" customHeight="true" outlineLevel="0" collapsed="false">
      <c r="A399" s="37" t="s">
        <v>773</v>
      </c>
      <c r="B399" s="4" t="s">
        <v>379</v>
      </c>
      <c r="C399" s="5" t="n">
        <v>74.8</v>
      </c>
    </row>
    <row r="400" customFormat="false" ht="15" hidden="false" customHeight="true" outlineLevel="0" collapsed="false">
      <c r="A400" s="38" t="s">
        <v>774</v>
      </c>
      <c r="B400" s="7" t="s">
        <v>376</v>
      </c>
      <c r="C400" s="8" t="n">
        <v>70</v>
      </c>
    </row>
    <row r="401" customFormat="false" ht="15" hidden="false" customHeight="true" outlineLevel="0" collapsed="false">
      <c r="A401" s="37" t="s">
        <v>775</v>
      </c>
      <c r="B401" s="4" t="s">
        <v>376</v>
      </c>
      <c r="C401" s="5" t="n">
        <v>80.1</v>
      </c>
    </row>
    <row r="402" customFormat="false" ht="15" hidden="false" customHeight="true" outlineLevel="0" collapsed="false">
      <c r="A402" s="38" t="s">
        <v>776</v>
      </c>
      <c r="B402" s="7" t="s">
        <v>379</v>
      </c>
      <c r="C402" s="8" t="n">
        <v>64.5</v>
      </c>
    </row>
    <row r="404" customFormat="false" ht="15" hidden="false" customHeight="true" outlineLevel="0" collapsed="false">
      <c r="A404" s="10" t="s">
        <v>777</v>
      </c>
      <c r="B404" s="10"/>
      <c r="C404" s="10"/>
      <c r="D404" s="10"/>
      <c r="E404" s="10"/>
      <c r="F404" s="10"/>
      <c r="G404" s="10"/>
    </row>
    <row r="405" customFormat="false" ht="15" hidden="false" customHeight="true" outlineLevel="0" collapsed="false">
      <c r="A405" s="11" t="s">
        <v>332</v>
      </c>
      <c r="B405" s="11"/>
      <c r="C405" s="11" t="s">
        <v>333</v>
      </c>
      <c r="D405" s="11"/>
      <c r="E405" s="11" t="s">
        <v>334</v>
      </c>
      <c r="F405" s="11"/>
      <c r="G405" s="11"/>
    </row>
    <row r="406" customFormat="false" ht="15" hidden="false" customHeight="true" outlineLevel="0" collapsed="false">
      <c r="A406" s="12" t="s">
        <v>335</v>
      </c>
      <c r="B406" s="12"/>
      <c r="C406" s="31" t="s">
        <v>778</v>
      </c>
      <c r="D406" s="31"/>
      <c r="E406" s="20" t="s">
        <v>779</v>
      </c>
      <c r="F406" s="20"/>
      <c r="G406" s="20"/>
    </row>
    <row r="407" customFormat="false" ht="15" hidden="false" customHeight="true" outlineLevel="0" collapsed="false">
      <c r="A407" s="15" t="s">
        <v>338</v>
      </c>
      <c r="B407" s="15"/>
      <c r="C407" s="32" t="s">
        <v>780</v>
      </c>
      <c r="D407" s="32"/>
      <c r="E407" s="22" t="s">
        <v>781</v>
      </c>
      <c r="F407" s="22"/>
      <c r="G407" s="22"/>
    </row>
    <row r="408" customFormat="false" ht="15" hidden="false" customHeight="true" outlineLevel="0" collapsed="false">
      <c r="A408" s="12" t="s">
        <v>341</v>
      </c>
      <c r="B408" s="12"/>
      <c r="C408" s="31" t="s">
        <v>782</v>
      </c>
      <c r="D408" s="31"/>
      <c r="E408" s="20" t="s">
        <v>783</v>
      </c>
      <c r="F408" s="20"/>
      <c r="G408" s="20"/>
    </row>
    <row r="409" customFormat="false" ht="15" hidden="false" customHeight="true" outlineLevel="0" collapsed="false">
      <c r="A409" s="15" t="s">
        <v>344</v>
      </c>
      <c r="B409" s="15"/>
      <c r="C409" s="32" t="s">
        <v>345</v>
      </c>
      <c r="D409" s="32"/>
      <c r="E409" s="22" t="s">
        <v>346</v>
      </c>
      <c r="F409" s="22"/>
      <c r="G409" s="22"/>
    </row>
    <row r="411" customFormat="false" ht="15" hidden="false" customHeight="true" outlineLevel="0" collapsed="false">
      <c r="A411" s="10" t="s">
        <v>784</v>
      </c>
      <c r="B411" s="10"/>
      <c r="C411" s="10"/>
      <c r="D411" s="10"/>
      <c r="E411" s="10"/>
      <c r="F411" s="10"/>
      <c r="G411" s="10"/>
    </row>
    <row r="412" customFormat="false" ht="15" hidden="false" customHeight="true" outlineLevel="0" collapsed="false">
      <c r="A412" s="11" t="s">
        <v>277</v>
      </c>
      <c r="B412" s="11"/>
      <c r="C412" s="11" t="s">
        <v>785</v>
      </c>
      <c r="D412" s="11"/>
      <c r="E412" s="11" t="s">
        <v>786</v>
      </c>
      <c r="F412" s="11" t="s">
        <v>787</v>
      </c>
      <c r="G412" s="11" t="s">
        <v>788</v>
      </c>
    </row>
    <row r="413" customFormat="false" ht="15" hidden="false" customHeight="true" outlineLevel="0" collapsed="false">
      <c r="A413" s="12" t="s">
        <v>280</v>
      </c>
      <c r="B413" s="12"/>
      <c r="C413" s="13" t="n">
        <f aca="false">AVERAGEIF(B3:B402,"A",C3:C402)</f>
        <v>68.5155</v>
      </c>
      <c r="D413" s="13"/>
      <c r="E413" s="14" t="n">
        <f aca="false">AVERAGEIF(B3:B402,"A",C3:C402)</f>
        <v>68.5155</v>
      </c>
      <c r="F413" s="13" t="n">
        <f aca="false">AVERAGEIF(B3:B402,"B",C3:C402)</f>
        <v>72.5405</v>
      </c>
      <c r="G413" s="14" t="n">
        <f aca="false">AVERAGEIF(B3:B402,"B",C3:C402)</f>
        <v>72.5405</v>
      </c>
    </row>
    <row r="414" customFormat="false" ht="15" hidden="false" customHeight="true" outlineLevel="0" collapsed="false">
      <c r="A414" s="15" t="s">
        <v>789</v>
      </c>
      <c r="B414" s="15"/>
      <c r="C414" s="13" t="n">
        <f aca="false">SQRT(SUMPRODUCT((B3:B402="A")*(C3:C402-AVERAGEIF(B3:B402,"A",C3:C402))^2)/(COUNTIF(B3:B402,"A")-1))</f>
        <v>12.6741024976368</v>
      </c>
      <c r="D414" s="13"/>
      <c r="E414" s="39" t="n">
        <f aca="false">SQRT(SUMPRODUCT((B3:B402="A")*(C3:C402-AVERAGEIF(B3:B402,"A",C3:C402))^2)/(COUNTIF(B3:B402,"A")-1))</f>
        <v>12.6741024976368</v>
      </c>
      <c r="F414" s="13" t="n">
        <f aca="false">SQRT(SUMPRODUCT((B3:B402="B")*(C3:C402-AVERAGEIF(B3:B402,"B",C3:C402))^2)/(COUNTIF(B3:B402,"B")-1))</f>
        <v>11.7706051449102</v>
      </c>
      <c r="G414" s="39" t="n">
        <f aca="false">SQRT(SUMPRODUCT((B3:B402="B")*(C3:C402-AVERAGEIF(B3:B402,"B",C3:C402))^2)/(COUNTIF(B3:B402,"B")-1))</f>
        <v>11.7706051449102</v>
      </c>
      <c r="H414" s="40"/>
    </row>
    <row r="415" customFormat="false" ht="15" hidden="false" customHeight="true" outlineLevel="0" collapsed="false">
      <c r="A415" s="12" t="s">
        <v>355</v>
      </c>
      <c r="B415" s="12"/>
      <c r="C415" s="13" t="n">
        <f aca="false">COUNTIF(B3:B402,"A")</f>
        <v>200</v>
      </c>
      <c r="D415" s="13"/>
      <c r="E415" s="34" t="n">
        <f aca="false">COUNTIF(B3:B402,"A")</f>
        <v>200</v>
      </c>
      <c r="F415" s="13" t="n">
        <f aca="false">COUNTIF(B3:B402,"B")</f>
        <v>200</v>
      </c>
      <c r="G415" s="34" t="n">
        <f aca="false">COUNTIF(B3:B402,"B")</f>
        <v>200</v>
      </c>
    </row>
    <row r="416" customFormat="false" ht="15" hidden="false" customHeight="true" outlineLevel="0" collapsed="false">
      <c r="A416" s="23" t="s">
        <v>790</v>
      </c>
      <c r="B416" s="23"/>
      <c r="C416" s="23"/>
      <c r="D416" s="23"/>
      <c r="E416" s="41" t="n">
        <f aca="false">G413-E413</f>
        <v>4.02500000000001</v>
      </c>
      <c r="F416" s="41"/>
      <c r="G416" s="41"/>
    </row>
    <row r="418" customFormat="false" ht="15" hidden="false" customHeight="true" outlineLevel="0" collapsed="false">
      <c r="A418" s="10" t="s">
        <v>791</v>
      </c>
      <c r="B418" s="10"/>
      <c r="C418" s="10"/>
      <c r="D418" s="10"/>
      <c r="E418" s="10"/>
      <c r="F418" s="10"/>
      <c r="G418" s="10"/>
    </row>
    <row r="419" customFormat="false" ht="27.75" hidden="false" customHeight="true" outlineLevel="0" collapsed="false">
      <c r="A419" s="42" t="s">
        <v>792</v>
      </c>
      <c r="B419" s="42"/>
      <c r="C419" s="42"/>
      <c r="D419" s="42"/>
      <c r="E419" s="42"/>
      <c r="F419" s="42"/>
    </row>
    <row r="421" customFormat="false" ht="15" hidden="false" customHeight="true" outlineLevel="0" collapsed="false">
      <c r="A421" s="11" t="s">
        <v>793</v>
      </c>
      <c r="B421" s="11"/>
      <c r="C421" s="11"/>
      <c r="D421" s="11" t="s">
        <v>794</v>
      </c>
      <c r="E421" s="11"/>
      <c r="F421" s="11" t="s">
        <v>795</v>
      </c>
      <c r="G421" s="11"/>
    </row>
    <row r="422" customFormat="false" ht="15" hidden="false" customHeight="true" outlineLevel="0" collapsed="false">
      <c r="A422" s="20" t="s">
        <v>280</v>
      </c>
      <c r="B422" s="20"/>
      <c r="C422" s="20"/>
      <c r="D422" s="4" t="n">
        <v>68.5155</v>
      </c>
      <c r="E422" s="4"/>
      <c r="F422" s="4" t="n">
        <v>72.5405</v>
      </c>
      <c r="G422" s="4"/>
    </row>
    <row r="423" customFormat="false" ht="15" hidden="false" customHeight="true" outlineLevel="0" collapsed="false">
      <c r="A423" s="22" t="s">
        <v>796</v>
      </c>
      <c r="B423" s="22"/>
      <c r="C423" s="22"/>
      <c r="D423" s="7" t="n">
        <v>160.733</v>
      </c>
      <c r="E423" s="7"/>
      <c r="F423" s="7" t="n">
        <v>138.547</v>
      </c>
      <c r="G423" s="7"/>
    </row>
    <row r="424" customFormat="false" ht="15" hidden="false" customHeight="true" outlineLevel="0" collapsed="false">
      <c r="A424" s="20" t="s">
        <v>797</v>
      </c>
      <c r="B424" s="20"/>
      <c r="C424" s="20"/>
      <c r="D424" s="4" t="n">
        <v>200</v>
      </c>
      <c r="E424" s="4"/>
      <c r="F424" s="4" t="n">
        <v>200</v>
      </c>
      <c r="G424" s="4"/>
    </row>
    <row r="425" customFormat="false" ht="15" hidden="false" customHeight="true" outlineLevel="0" collapsed="false">
      <c r="A425" s="22" t="s">
        <v>798</v>
      </c>
      <c r="B425" s="22"/>
      <c r="C425" s="22"/>
      <c r="D425" s="7" t="n">
        <v>0</v>
      </c>
      <c r="E425" s="7"/>
      <c r="F425" s="7"/>
      <c r="G425" s="7"/>
    </row>
    <row r="426" customFormat="false" ht="15" hidden="false" customHeight="true" outlineLevel="0" collapsed="false">
      <c r="A426" s="23" t="s">
        <v>799</v>
      </c>
      <c r="B426" s="23"/>
      <c r="C426" s="23"/>
      <c r="D426" s="43" t="n">
        <v>395</v>
      </c>
      <c r="E426" s="43"/>
      <c r="F426" s="44"/>
      <c r="G426" s="44"/>
    </row>
    <row r="427" customFormat="false" ht="15" hidden="false" customHeight="true" outlineLevel="0" collapsed="false">
      <c r="A427" s="23" t="s">
        <v>800</v>
      </c>
      <c r="B427" s="23"/>
      <c r="C427" s="23"/>
      <c r="D427" s="43" t="n">
        <v>-3.2909</v>
      </c>
      <c r="E427" s="43"/>
      <c r="F427" s="44"/>
      <c r="G427" s="44"/>
    </row>
    <row r="428" customFormat="false" ht="15" hidden="false" customHeight="true" outlineLevel="0" collapsed="false">
      <c r="A428" s="20" t="s">
        <v>801</v>
      </c>
      <c r="B428" s="20"/>
      <c r="C428" s="20"/>
      <c r="D428" s="4" t="n">
        <v>0.000544</v>
      </c>
      <c r="E428" s="4"/>
      <c r="F428" s="4"/>
      <c r="G428" s="4"/>
    </row>
    <row r="429" customFormat="false" ht="15" hidden="false" customHeight="true" outlineLevel="0" collapsed="false">
      <c r="A429" s="22" t="s">
        <v>802</v>
      </c>
      <c r="B429" s="22"/>
      <c r="C429" s="22"/>
      <c r="D429" s="7" t="n">
        <v>1.6487</v>
      </c>
      <c r="E429" s="7"/>
      <c r="F429" s="7"/>
      <c r="G429" s="7"/>
    </row>
    <row r="430" customFormat="false" ht="15" hidden="false" customHeight="true" outlineLevel="0" collapsed="false">
      <c r="A430" s="23" t="s">
        <v>803</v>
      </c>
      <c r="B430" s="23"/>
      <c r="C430" s="23"/>
      <c r="D430" s="43" t="n">
        <v>0.001088</v>
      </c>
      <c r="E430" s="43"/>
      <c r="F430" s="44"/>
      <c r="G430" s="44"/>
    </row>
    <row r="431" customFormat="false" ht="15" hidden="false" customHeight="true" outlineLevel="0" collapsed="false">
      <c r="A431" s="22" t="s">
        <v>804</v>
      </c>
      <c r="B431" s="22"/>
      <c r="C431" s="22"/>
      <c r="D431" s="7" t="n">
        <v>1.9659</v>
      </c>
      <c r="E431" s="7"/>
      <c r="F431" s="7"/>
      <c r="G431" s="7"/>
    </row>
    <row r="433" customFormat="false" ht="15" hidden="false" customHeight="true" outlineLevel="0" collapsed="false">
      <c r="A433" s="23" t="s">
        <v>363</v>
      </c>
      <c r="B433" s="23"/>
      <c r="C433" s="45" t="s">
        <v>805</v>
      </c>
      <c r="D433" s="45"/>
      <c r="E433" s="45"/>
      <c r="F433" s="45"/>
      <c r="G433" s="45"/>
    </row>
    <row r="435" customFormat="false" ht="15" hidden="false" customHeight="true" outlineLevel="0" collapsed="false">
      <c r="A435" s="18" t="s">
        <v>806</v>
      </c>
      <c r="B435" s="18"/>
      <c r="C435" s="18"/>
      <c r="D435" s="18"/>
      <c r="E435" s="18"/>
      <c r="F435" s="18"/>
      <c r="G435" s="18"/>
    </row>
    <row r="436" customFormat="false" ht="37.5" hidden="false" customHeight="true" outlineLevel="0" collapsed="false">
      <c r="A436" s="19" t="s">
        <v>807</v>
      </c>
      <c r="B436" s="19"/>
      <c r="C436" s="19"/>
      <c r="D436" s="19"/>
      <c r="E436" s="19"/>
      <c r="F436" s="19"/>
      <c r="G436" s="19"/>
    </row>
    <row r="437" customFormat="false" ht="37.5" hidden="false" customHeight="true" outlineLevel="0" collapsed="false">
      <c r="A437" s="19" t="s">
        <v>808</v>
      </c>
      <c r="B437" s="19"/>
      <c r="C437" s="19"/>
      <c r="D437" s="19"/>
      <c r="E437" s="19"/>
      <c r="F437" s="19"/>
      <c r="G437" s="19"/>
    </row>
    <row r="439" customFormat="false" ht="15" hidden="false" customHeight="true" outlineLevel="0" collapsed="false">
      <c r="A439" s="18" t="s">
        <v>809</v>
      </c>
      <c r="B439" s="18"/>
      <c r="C439" s="18"/>
      <c r="D439" s="18"/>
      <c r="E439" s="18"/>
      <c r="F439" s="18"/>
      <c r="G439" s="18"/>
    </row>
    <row r="440" customFormat="false" ht="42" hidden="false" customHeight="true" outlineLevel="0" collapsed="false">
      <c r="A440" s="19" t="s">
        <v>810</v>
      </c>
      <c r="B440" s="19"/>
      <c r="C440" s="19"/>
      <c r="D440" s="19"/>
      <c r="E440" s="19"/>
      <c r="F440" s="19"/>
      <c r="G440" s="19"/>
    </row>
    <row r="441" customFormat="false" ht="42" hidden="false" customHeight="true" outlineLevel="0" collapsed="false">
      <c r="A441" s="19" t="s">
        <v>811</v>
      </c>
      <c r="B441" s="19"/>
      <c r="C441" s="19"/>
      <c r="D441" s="19"/>
      <c r="E441" s="19"/>
      <c r="F441" s="19"/>
      <c r="G441" s="19"/>
    </row>
    <row r="442" customFormat="false" ht="42" hidden="false" customHeight="true" outlineLevel="0" collapsed="false">
      <c r="A442" s="19" t="s">
        <v>812</v>
      </c>
      <c r="B442" s="19"/>
      <c r="C442" s="19"/>
      <c r="D442" s="19"/>
      <c r="E442" s="19"/>
      <c r="F442" s="19"/>
      <c r="G442" s="19"/>
    </row>
  </sheetData>
  <mergeCells count="72">
    <mergeCell ref="A1:G1"/>
    <mergeCell ref="A404:G404"/>
    <mergeCell ref="A405:B405"/>
    <mergeCell ref="C405:D405"/>
    <mergeCell ref="E405:G405"/>
    <mergeCell ref="A406:B406"/>
    <mergeCell ref="C406:D406"/>
    <mergeCell ref="E406:G406"/>
    <mergeCell ref="A407:B407"/>
    <mergeCell ref="C407:D407"/>
    <mergeCell ref="E407:G407"/>
    <mergeCell ref="A408:B408"/>
    <mergeCell ref="C408:D408"/>
    <mergeCell ref="E408:G408"/>
    <mergeCell ref="A409:B409"/>
    <mergeCell ref="C409:D409"/>
    <mergeCell ref="E409:G409"/>
    <mergeCell ref="A411:G411"/>
    <mergeCell ref="A412:B412"/>
    <mergeCell ref="C412:D412"/>
    <mergeCell ref="A413:B413"/>
    <mergeCell ref="C413:D413"/>
    <mergeCell ref="A414:B414"/>
    <mergeCell ref="C414:D414"/>
    <mergeCell ref="A415:B415"/>
    <mergeCell ref="C415:D415"/>
    <mergeCell ref="A416:D416"/>
    <mergeCell ref="E416:G416"/>
    <mergeCell ref="A418:G418"/>
    <mergeCell ref="A419:F419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3:B433"/>
    <mergeCell ref="C433:G433"/>
    <mergeCell ref="A435:G435"/>
    <mergeCell ref="A436:G436"/>
    <mergeCell ref="A437:G437"/>
    <mergeCell ref="A439:G439"/>
    <mergeCell ref="A440:G440"/>
    <mergeCell ref="A441:G441"/>
    <mergeCell ref="A442:G4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15.75" hidden="false" customHeight="true" outlineLevel="0" collapsed="false">
      <c r="A1" s="2" t="s">
        <v>813</v>
      </c>
      <c r="B1" s="2"/>
      <c r="C1" s="2"/>
      <c r="D1" s="2"/>
      <c r="E1" s="2"/>
      <c r="F1" s="2"/>
      <c r="G1" s="2"/>
      <c r="H1" s="2"/>
      <c r="I1" s="2"/>
    </row>
    <row r="2" customFormat="false" ht="26.25" hidden="false" customHeight="true" outlineLevel="0" collapsed="false">
      <c r="A2" s="18" t="s">
        <v>814</v>
      </c>
      <c r="B2" s="18" t="s">
        <v>815</v>
      </c>
      <c r="C2" s="18" t="s">
        <v>816</v>
      </c>
      <c r="D2" s="18" t="s">
        <v>3</v>
      </c>
      <c r="E2" s="18" t="s">
        <v>817</v>
      </c>
      <c r="F2" s="18" t="s">
        <v>818</v>
      </c>
    </row>
    <row r="3" customFormat="false" ht="15" hidden="false" customHeight="true" outlineLevel="0" collapsed="false">
      <c r="A3" s="4" t="s">
        <v>819</v>
      </c>
      <c r="B3" s="5" t="n">
        <v>95.5</v>
      </c>
      <c r="C3" s="4" t="n">
        <v>685</v>
      </c>
      <c r="D3" s="5" t="n">
        <v>26.6</v>
      </c>
      <c r="E3" s="46" t="n">
        <v>0.57</v>
      </c>
      <c r="F3" s="4" t="n">
        <v>0</v>
      </c>
    </row>
    <row r="4" customFormat="false" ht="15" hidden="false" customHeight="true" outlineLevel="0" collapsed="false">
      <c r="A4" s="7" t="s">
        <v>820</v>
      </c>
      <c r="B4" s="8" t="n">
        <v>289</v>
      </c>
      <c r="C4" s="7" t="n">
        <v>2020</v>
      </c>
      <c r="D4" s="8" t="n">
        <v>20</v>
      </c>
      <c r="E4" s="47" t="n">
        <v>1.65</v>
      </c>
      <c r="F4" s="7" t="n">
        <v>1</v>
      </c>
    </row>
    <row r="5" customFormat="false" ht="15" hidden="false" customHeight="true" outlineLevel="0" collapsed="false">
      <c r="A5" s="4" t="s">
        <v>821</v>
      </c>
      <c r="B5" s="5" t="n">
        <v>350.2</v>
      </c>
      <c r="C5" s="4" t="n">
        <v>2880</v>
      </c>
      <c r="D5" s="5" t="n">
        <v>34.2</v>
      </c>
      <c r="E5" s="46" t="n">
        <v>1.88</v>
      </c>
      <c r="F5" s="4" t="n">
        <v>0</v>
      </c>
    </row>
    <row r="6" customFormat="false" ht="15" hidden="false" customHeight="true" outlineLevel="0" collapsed="false">
      <c r="A6" s="7" t="s">
        <v>822</v>
      </c>
      <c r="B6" s="8" t="n">
        <v>276</v>
      </c>
      <c r="C6" s="7" t="n">
        <v>2102</v>
      </c>
      <c r="D6" s="8" t="n">
        <v>36.5</v>
      </c>
      <c r="E6" s="47" t="n">
        <v>1.8</v>
      </c>
      <c r="F6" s="7" t="n">
        <v>0</v>
      </c>
    </row>
    <row r="7" customFormat="false" ht="15" hidden="false" customHeight="true" outlineLevel="0" collapsed="false">
      <c r="A7" s="4" t="s">
        <v>823</v>
      </c>
      <c r="B7" s="5" t="n">
        <v>355.8</v>
      </c>
      <c r="C7" s="4" t="n">
        <v>2735</v>
      </c>
      <c r="D7" s="5" t="n">
        <v>20.2</v>
      </c>
      <c r="E7" s="46" t="n">
        <v>2.31</v>
      </c>
      <c r="F7" s="4" t="n">
        <v>1</v>
      </c>
    </row>
    <row r="8" customFormat="false" ht="15" hidden="false" customHeight="true" outlineLevel="0" collapsed="false">
      <c r="A8" s="7" t="s">
        <v>824</v>
      </c>
      <c r="B8" s="8" t="n">
        <v>149.7</v>
      </c>
      <c r="C8" s="7" t="n">
        <v>500</v>
      </c>
      <c r="D8" s="8" t="n">
        <v>27</v>
      </c>
      <c r="E8" s="47" t="n">
        <v>0.53</v>
      </c>
      <c r="F8" s="7" t="n">
        <v>0</v>
      </c>
    </row>
    <row r="9" customFormat="false" ht="15" hidden="false" customHeight="true" outlineLevel="0" collapsed="false">
      <c r="A9" s="4" t="s">
        <v>825</v>
      </c>
      <c r="B9" s="5" t="n">
        <v>294</v>
      </c>
      <c r="C9" s="4" t="n">
        <v>2165</v>
      </c>
      <c r="D9" s="5" t="n">
        <v>35.1</v>
      </c>
      <c r="E9" s="46" t="n">
        <v>1.43</v>
      </c>
      <c r="F9" s="4" t="n">
        <v>0</v>
      </c>
    </row>
    <row r="10" customFormat="false" ht="15" hidden="false" customHeight="true" outlineLevel="0" collapsed="false">
      <c r="A10" s="7" t="s">
        <v>826</v>
      </c>
      <c r="B10" s="8" t="n">
        <v>201.9</v>
      </c>
      <c r="C10" s="7" t="n">
        <v>918</v>
      </c>
      <c r="D10" s="8" t="n">
        <v>42.3</v>
      </c>
      <c r="E10" s="47" t="n">
        <v>0.79</v>
      </c>
      <c r="F10" s="7" t="n">
        <v>0</v>
      </c>
    </row>
    <row r="11" customFormat="false" ht="15" hidden="false" customHeight="true" outlineLevel="0" collapsed="false">
      <c r="A11" s="4" t="s">
        <v>827</v>
      </c>
      <c r="B11" s="5" t="n">
        <v>334.7</v>
      </c>
      <c r="C11" s="4" t="n">
        <v>1895</v>
      </c>
      <c r="D11" s="5" t="n">
        <v>32.1</v>
      </c>
      <c r="E11" s="46" t="n">
        <v>1.78</v>
      </c>
      <c r="F11" s="4" t="n">
        <v>1</v>
      </c>
    </row>
    <row r="12" customFormat="false" ht="15" hidden="false" customHeight="true" outlineLevel="0" collapsed="false">
      <c r="A12" s="7" t="s">
        <v>828</v>
      </c>
      <c r="B12" s="8" t="n">
        <v>223</v>
      </c>
      <c r="C12" s="7" t="n">
        <v>1042</v>
      </c>
      <c r="D12" s="8" t="n">
        <v>28.4</v>
      </c>
      <c r="E12" s="47" t="n">
        <v>1.34</v>
      </c>
      <c r="F12" s="7" t="n">
        <v>1</v>
      </c>
    </row>
    <row r="13" customFormat="false" ht="15" hidden="false" customHeight="true" outlineLevel="0" collapsed="false">
      <c r="A13" s="4" t="s">
        <v>829</v>
      </c>
      <c r="B13" s="5" t="n">
        <v>288.6</v>
      </c>
      <c r="C13" s="4" t="n">
        <v>2016</v>
      </c>
      <c r="D13" s="5" t="n">
        <v>31.1</v>
      </c>
      <c r="E13" s="46" t="n">
        <v>1.5</v>
      </c>
      <c r="F13" s="4" t="n">
        <v>0</v>
      </c>
    </row>
    <row r="14" customFormat="false" ht="15" hidden="false" customHeight="true" outlineLevel="0" collapsed="false">
      <c r="A14" s="7" t="s">
        <v>830</v>
      </c>
      <c r="B14" s="8" t="n">
        <v>287.6</v>
      </c>
      <c r="C14" s="7" t="n">
        <v>1505</v>
      </c>
      <c r="D14" s="8" t="n">
        <v>38.9</v>
      </c>
      <c r="E14" s="47" t="n">
        <v>1.15</v>
      </c>
      <c r="F14" s="7" t="n">
        <v>1</v>
      </c>
    </row>
    <row r="15" customFormat="false" ht="15" hidden="false" customHeight="true" outlineLevel="0" collapsed="false">
      <c r="A15" s="4" t="s">
        <v>831</v>
      </c>
      <c r="B15" s="5" t="n">
        <v>185.5</v>
      </c>
      <c r="C15" s="4" t="n">
        <v>934</v>
      </c>
      <c r="D15" s="5" t="n">
        <v>28.8</v>
      </c>
      <c r="E15" s="46" t="n">
        <v>0.46</v>
      </c>
      <c r="F15" s="4" t="n">
        <v>0</v>
      </c>
    </row>
    <row r="16" customFormat="false" ht="15" hidden="false" customHeight="true" outlineLevel="0" collapsed="false">
      <c r="A16" s="7" t="s">
        <v>832</v>
      </c>
      <c r="B16" s="8" t="n">
        <v>186.8</v>
      </c>
      <c r="C16" s="7" t="n">
        <v>1004</v>
      </c>
      <c r="D16" s="8" t="n">
        <v>28</v>
      </c>
      <c r="E16" s="47" t="n">
        <v>0.93</v>
      </c>
      <c r="F16" s="7" t="n">
        <v>1</v>
      </c>
    </row>
    <row r="17" customFormat="false" ht="15" hidden="false" customHeight="true" outlineLevel="0" collapsed="false">
      <c r="A17" s="4" t="s">
        <v>833</v>
      </c>
      <c r="B17" s="5" t="n">
        <v>500</v>
      </c>
      <c r="C17" s="4" t="n">
        <v>4965</v>
      </c>
      <c r="D17" s="5" t="n">
        <v>29.6</v>
      </c>
      <c r="E17" s="46" t="n">
        <v>3.64</v>
      </c>
      <c r="F17" s="4" t="n">
        <v>1</v>
      </c>
    </row>
    <row r="18" customFormat="false" ht="15" hidden="false" customHeight="true" outlineLevel="0" collapsed="false">
      <c r="A18" s="7" t="s">
        <v>834</v>
      </c>
      <c r="B18" s="8" t="n">
        <v>357.3</v>
      </c>
      <c r="C18" s="7" t="n">
        <v>2730</v>
      </c>
      <c r="D18" s="8" t="n">
        <v>27.2</v>
      </c>
      <c r="E18" s="47" t="n">
        <v>2.52</v>
      </c>
      <c r="F18" s="7" t="n">
        <v>1</v>
      </c>
    </row>
    <row r="19" customFormat="false" ht="15" hidden="false" customHeight="true" outlineLevel="0" collapsed="false">
      <c r="A19" s="4" t="s">
        <v>835</v>
      </c>
      <c r="B19" s="5" t="n">
        <v>178.9</v>
      </c>
      <c r="C19" s="4" t="n">
        <v>500</v>
      </c>
      <c r="D19" s="5" t="n">
        <v>32.6</v>
      </c>
      <c r="E19" s="46" t="n">
        <v>0.34</v>
      </c>
      <c r="F19" s="4" t="n">
        <v>0</v>
      </c>
    </row>
    <row r="20" customFormat="false" ht="15" hidden="false" customHeight="true" outlineLevel="0" collapsed="false">
      <c r="A20" s="7" t="s">
        <v>836</v>
      </c>
      <c r="B20" s="8" t="n">
        <v>194.9</v>
      </c>
      <c r="C20" s="7" t="n">
        <v>605</v>
      </c>
      <c r="D20" s="8" t="n">
        <v>40.1</v>
      </c>
      <c r="E20" s="47" t="n">
        <v>0.44</v>
      </c>
      <c r="F20" s="7" t="n">
        <v>1</v>
      </c>
    </row>
    <row r="21" customFormat="false" ht="15" hidden="false" customHeight="true" outlineLevel="0" collapsed="false">
      <c r="A21" s="4" t="s">
        <v>837</v>
      </c>
      <c r="B21" s="5" t="n">
        <v>178.8</v>
      </c>
      <c r="C21" s="4" t="n">
        <v>694</v>
      </c>
      <c r="D21" s="5" t="n">
        <v>33.6</v>
      </c>
      <c r="E21" s="46" t="n">
        <v>0.41</v>
      </c>
      <c r="F21" s="4" t="n">
        <v>1</v>
      </c>
    </row>
    <row r="22" customFormat="false" ht="15" hidden="false" customHeight="true" outlineLevel="0" collapsed="false">
      <c r="A22" s="7" t="s">
        <v>838</v>
      </c>
      <c r="B22" s="8" t="n">
        <v>243.7</v>
      </c>
      <c r="C22" s="7" t="n">
        <v>1628</v>
      </c>
      <c r="D22" s="8" t="n">
        <v>30.7</v>
      </c>
      <c r="E22" s="47" t="n">
        <v>1.34</v>
      </c>
      <c r="F22" s="7" t="n">
        <v>0</v>
      </c>
    </row>
    <row r="23" customFormat="false" ht="15" hidden="false" customHeight="true" outlineLevel="0" collapsed="false">
      <c r="A23" s="4" t="s">
        <v>839</v>
      </c>
      <c r="B23" s="5" t="n">
        <v>317.7</v>
      </c>
      <c r="C23" s="4" t="n">
        <v>2121</v>
      </c>
      <c r="D23" s="5" t="n">
        <v>30.5</v>
      </c>
      <c r="E23" s="46" t="n">
        <v>1.66</v>
      </c>
      <c r="F23" s="4" t="n">
        <v>1</v>
      </c>
    </row>
    <row r="24" customFormat="false" ht="15" hidden="false" customHeight="true" outlineLevel="0" collapsed="false">
      <c r="A24" s="7" t="s">
        <v>840</v>
      </c>
      <c r="B24" s="8" t="n">
        <v>155.6</v>
      </c>
      <c r="C24" s="7" t="n">
        <v>587</v>
      </c>
      <c r="D24" s="8" t="n">
        <v>24.2</v>
      </c>
      <c r="E24" s="47" t="n">
        <v>0.49</v>
      </c>
      <c r="F24" s="7" t="n">
        <v>0</v>
      </c>
    </row>
    <row r="25" customFormat="false" ht="15" hidden="false" customHeight="true" outlineLevel="0" collapsed="false">
      <c r="A25" s="4" t="s">
        <v>841</v>
      </c>
      <c r="B25" s="5" t="n">
        <v>211.2</v>
      </c>
      <c r="C25" s="4" t="n">
        <v>926</v>
      </c>
      <c r="D25" s="5" t="n">
        <v>36.4</v>
      </c>
      <c r="E25" s="46" t="n">
        <v>0.86</v>
      </c>
      <c r="F25" s="4" t="n">
        <v>1</v>
      </c>
    </row>
    <row r="26" customFormat="false" ht="15" hidden="false" customHeight="true" outlineLevel="0" collapsed="false">
      <c r="A26" s="7" t="s">
        <v>842</v>
      </c>
      <c r="B26" s="8" t="n">
        <v>303.4</v>
      </c>
      <c r="C26" s="7" t="n">
        <v>2139</v>
      </c>
      <c r="D26" s="8" t="n">
        <v>31.6</v>
      </c>
      <c r="E26" s="47" t="n">
        <v>1.77</v>
      </c>
      <c r="F26" s="7" t="n">
        <v>0</v>
      </c>
    </row>
    <row r="27" customFormat="false" ht="15" hidden="false" customHeight="true" outlineLevel="0" collapsed="false">
      <c r="A27" s="4" t="s">
        <v>843</v>
      </c>
      <c r="B27" s="5" t="n">
        <v>256.3</v>
      </c>
      <c r="C27" s="4" t="n">
        <v>1774</v>
      </c>
      <c r="D27" s="5" t="n">
        <v>31.1</v>
      </c>
      <c r="E27" s="46" t="n">
        <v>1.36</v>
      </c>
      <c r="F27" s="4" t="n">
        <v>1</v>
      </c>
    </row>
    <row r="28" customFormat="false" ht="15" hidden="false" customHeight="true" outlineLevel="0" collapsed="false">
      <c r="A28" s="7" t="s">
        <v>844</v>
      </c>
      <c r="B28" s="8" t="n">
        <v>230.5</v>
      </c>
      <c r="C28" s="7" t="n">
        <v>1377</v>
      </c>
      <c r="D28" s="8" t="n">
        <v>45</v>
      </c>
      <c r="E28" s="47" t="n">
        <v>0.93</v>
      </c>
      <c r="F28" s="7" t="n">
        <v>0</v>
      </c>
    </row>
    <row r="29" customFormat="false" ht="15" hidden="false" customHeight="true" outlineLevel="0" collapsed="false">
      <c r="A29" s="4" t="s">
        <v>845</v>
      </c>
      <c r="B29" s="5" t="n">
        <v>196.7</v>
      </c>
      <c r="C29" s="4" t="n">
        <v>1328</v>
      </c>
      <c r="D29" s="5" t="n">
        <v>33.5</v>
      </c>
      <c r="E29" s="46" t="n">
        <v>1.01</v>
      </c>
      <c r="F29" s="4" t="n">
        <v>0</v>
      </c>
    </row>
    <row r="30" customFormat="false" ht="15" hidden="false" customHeight="true" outlineLevel="0" collapsed="false">
      <c r="A30" s="7" t="s">
        <v>846</v>
      </c>
      <c r="B30" s="8" t="n">
        <v>166.3</v>
      </c>
      <c r="C30" s="7" t="n">
        <v>1068</v>
      </c>
      <c r="D30" s="8" t="n">
        <v>28.2</v>
      </c>
      <c r="E30" s="47" t="n">
        <v>0.87</v>
      </c>
      <c r="F30" s="7" t="n">
        <v>0</v>
      </c>
    </row>
    <row r="31" customFormat="false" ht="15" hidden="false" customHeight="true" outlineLevel="0" collapsed="false">
      <c r="A31" s="4" t="s">
        <v>847</v>
      </c>
      <c r="B31" s="5" t="n">
        <v>161.9</v>
      </c>
      <c r="C31" s="4" t="n">
        <v>1022</v>
      </c>
      <c r="D31" s="5" t="n">
        <v>29.9</v>
      </c>
      <c r="E31" s="46" t="n">
        <v>0.58</v>
      </c>
      <c r="F31" s="4" t="n">
        <v>0</v>
      </c>
    </row>
    <row r="32" customFormat="false" ht="15" hidden="false" customHeight="true" outlineLevel="0" collapsed="false">
      <c r="A32" s="7" t="s">
        <v>848</v>
      </c>
      <c r="B32" s="8" t="n">
        <v>188.7</v>
      </c>
      <c r="C32" s="7" t="n">
        <v>953</v>
      </c>
      <c r="D32" s="8" t="n">
        <v>37.7</v>
      </c>
      <c r="E32" s="47" t="n">
        <v>0.97</v>
      </c>
      <c r="F32" s="7" t="n">
        <v>0</v>
      </c>
    </row>
    <row r="33" customFormat="false" ht="15" hidden="false" customHeight="true" outlineLevel="0" collapsed="false">
      <c r="A33" s="4" t="s">
        <v>849</v>
      </c>
      <c r="B33" s="5" t="n">
        <v>187.7</v>
      </c>
      <c r="C33" s="4" t="n">
        <v>1262</v>
      </c>
      <c r="D33" s="5" t="n">
        <v>32.6</v>
      </c>
      <c r="E33" s="46" t="n">
        <v>1.23</v>
      </c>
      <c r="F33" s="4" t="n">
        <v>0</v>
      </c>
    </row>
    <row r="34" customFormat="false" ht="15" hidden="false" customHeight="true" outlineLevel="0" collapsed="false">
      <c r="A34" s="7" t="s">
        <v>850</v>
      </c>
      <c r="B34" s="8" t="n">
        <v>276.1</v>
      </c>
      <c r="C34" s="7" t="n">
        <v>2126</v>
      </c>
      <c r="D34" s="8" t="n">
        <v>24.8</v>
      </c>
      <c r="E34" s="47" t="n">
        <v>1.95</v>
      </c>
      <c r="F34" s="7" t="n">
        <v>0</v>
      </c>
    </row>
    <row r="35" customFormat="false" ht="15" hidden="false" customHeight="true" outlineLevel="0" collapsed="false">
      <c r="A35" s="4" t="s">
        <v>851</v>
      </c>
      <c r="B35" s="5" t="n">
        <v>189.3</v>
      </c>
      <c r="C35" s="4" t="n">
        <v>1061</v>
      </c>
      <c r="D35" s="5" t="n">
        <v>36.6</v>
      </c>
      <c r="E35" s="46" t="n">
        <v>1.11</v>
      </c>
      <c r="F35" s="4" t="n">
        <v>0</v>
      </c>
    </row>
    <row r="36" customFormat="false" ht="15" hidden="false" customHeight="true" outlineLevel="0" collapsed="false">
      <c r="A36" s="7" t="s">
        <v>852</v>
      </c>
      <c r="B36" s="8" t="n">
        <v>289.2</v>
      </c>
      <c r="C36" s="7" t="n">
        <v>2139</v>
      </c>
      <c r="D36" s="8" t="n">
        <v>28.7</v>
      </c>
      <c r="E36" s="47" t="n">
        <v>1.45</v>
      </c>
      <c r="F36" s="7" t="n">
        <v>0</v>
      </c>
    </row>
    <row r="37" customFormat="false" ht="15" hidden="false" customHeight="true" outlineLevel="0" collapsed="false">
      <c r="A37" s="4" t="s">
        <v>853</v>
      </c>
      <c r="B37" s="5" t="n">
        <v>221.4</v>
      </c>
      <c r="C37" s="4" t="n">
        <v>760</v>
      </c>
      <c r="D37" s="5" t="n">
        <v>41.4</v>
      </c>
      <c r="E37" s="46" t="n">
        <v>0.44</v>
      </c>
      <c r="F37" s="4" t="n">
        <v>1</v>
      </c>
    </row>
    <row r="38" customFormat="false" ht="15" hidden="false" customHeight="true" outlineLevel="0" collapsed="false">
      <c r="A38" s="7" t="s">
        <v>854</v>
      </c>
      <c r="B38" s="8" t="n">
        <v>158.5</v>
      </c>
      <c r="C38" s="7" t="n">
        <v>950</v>
      </c>
      <c r="D38" s="8" t="n">
        <v>37.4</v>
      </c>
      <c r="E38" s="47" t="n">
        <v>0.8</v>
      </c>
      <c r="F38" s="7" t="n">
        <v>0</v>
      </c>
    </row>
    <row r="39" customFormat="false" ht="15" hidden="false" customHeight="true" outlineLevel="0" collapsed="false">
      <c r="A39" s="4" t="s">
        <v>855</v>
      </c>
      <c r="B39" s="5" t="n">
        <v>158.3</v>
      </c>
      <c r="C39" s="4" t="n">
        <v>500</v>
      </c>
      <c r="D39" s="5" t="n">
        <v>29.8</v>
      </c>
      <c r="E39" s="46" t="n">
        <v>0.31</v>
      </c>
      <c r="F39" s="4" t="n">
        <v>1</v>
      </c>
    </row>
    <row r="40" customFormat="false" ht="15" hidden="false" customHeight="true" outlineLevel="0" collapsed="false">
      <c r="A40" s="7" t="s">
        <v>856</v>
      </c>
      <c r="B40" s="8" t="n">
        <v>182.5</v>
      </c>
      <c r="C40" s="7" t="n">
        <v>672</v>
      </c>
      <c r="D40" s="8" t="n">
        <v>38.4</v>
      </c>
      <c r="E40" s="47" t="n">
        <v>0.53</v>
      </c>
      <c r="F40" s="7" t="n">
        <v>1</v>
      </c>
    </row>
    <row r="41" customFormat="false" ht="15" hidden="false" customHeight="true" outlineLevel="0" collapsed="false">
      <c r="A41" s="4" t="s">
        <v>857</v>
      </c>
      <c r="B41" s="5" t="n">
        <v>214.1</v>
      </c>
      <c r="C41" s="4" t="n">
        <v>1247</v>
      </c>
      <c r="D41" s="5" t="n">
        <v>32.3</v>
      </c>
      <c r="E41" s="46" t="n">
        <v>1.34</v>
      </c>
      <c r="F41" s="4" t="n">
        <v>0</v>
      </c>
    </row>
    <row r="42" customFormat="false" ht="15" hidden="false" customHeight="true" outlineLevel="0" collapsed="false">
      <c r="A42" s="7" t="s">
        <v>858</v>
      </c>
      <c r="B42" s="8" t="n">
        <v>500</v>
      </c>
      <c r="C42" s="7" t="n">
        <v>4933</v>
      </c>
      <c r="D42" s="8" t="n">
        <v>36.3</v>
      </c>
      <c r="E42" s="47" t="n">
        <v>4.14</v>
      </c>
      <c r="F42" s="7" t="n">
        <v>0</v>
      </c>
    </row>
    <row r="43" customFormat="false" ht="15" hidden="false" customHeight="true" outlineLevel="0" collapsed="false">
      <c r="A43" s="4" t="s">
        <v>859</v>
      </c>
      <c r="B43" s="5" t="n">
        <v>140.8</v>
      </c>
      <c r="C43" s="4" t="n">
        <v>554</v>
      </c>
      <c r="D43" s="5" t="n">
        <v>34.4</v>
      </c>
      <c r="E43" s="46" t="n">
        <v>0.38</v>
      </c>
      <c r="F43" s="4" t="n">
        <v>1</v>
      </c>
    </row>
    <row r="44" customFormat="false" ht="15" hidden="false" customHeight="true" outlineLevel="0" collapsed="false">
      <c r="A44" s="7" t="s">
        <v>860</v>
      </c>
      <c r="B44" s="8" t="n">
        <v>139.8</v>
      </c>
      <c r="C44" s="7" t="n">
        <v>538</v>
      </c>
      <c r="D44" s="8" t="n">
        <v>27.8</v>
      </c>
      <c r="E44" s="47" t="n">
        <v>0.71</v>
      </c>
      <c r="F44" s="7" t="n">
        <v>0</v>
      </c>
    </row>
    <row r="45" customFormat="false" ht="15" hidden="false" customHeight="true" outlineLevel="0" collapsed="false">
      <c r="A45" s="4" t="s">
        <v>861</v>
      </c>
      <c r="B45" s="5" t="n">
        <v>270.8</v>
      </c>
      <c r="C45" s="4" t="n">
        <v>2123</v>
      </c>
      <c r="D45" s="5" t="n">
        <v>28.8</v>
      </c>
      <c r="E45" s="46" t="n">
        <v>1.59</v>
      </c>
      <c r="F45" s="4" t="n">
        <v>0</v>
      </c>
    </row>
    <row r="46" customFormat="false" ht="15" hidden="false" customHeight="true" outlineLevel="0" collapsed="false">
      <c r="A46" s="7" t="s">
        <v>862</v>
      </c>
      <c r="B46" s="8" t="n">
        <v>171.9</v>
      </c>
      <c r="C46" s="7" t="n">
        <v>500</v>
      </c>
      <c r="D46" s="8" t="n">
        <v>37.1</v>
      </c>
      <c r="E46" s="47" t="n">
        <v>0.48</v>
      </c>
      <c r="F46" s="7" t="n">
        <v>0</v>
      </c>
    </row>
    <row r="47" customFormat="false" ht="15" hidden="false" customHeight="true" outlineLevel="0" collapsed="false">
      <c r="A47" s="4" t="s">
        <v>863</v>
      </c>
      <c r="B47" s="5" t="n">
        <v>256.1</v>
      </c>
      <c r="C47" s="4" t="n">
        <v>1517</v>
      </c>
      <c r="D47" s="5" t="n">
        <v>30.3</v>
      </c>
      <c r="E47" s="46" t="n">
        <v>0.95</v>
      </c>
      <c r="F47" s="4" t="n">
        <v>1</v>
      </c>
    </row>
    <row r="48" customFormat="false" ht="15" hidden="false" customHeight="true" outlineLevel="0" collapsed="false">
      <c r="A48" s="7" t="s">
        <v>864</v>
      </c>
      <c r="B48" s="8" t="n">
        <v>240</v>
      </c>
      <c r="C48" s="7" t="n">
        <v>1987</v>
      </c>
      <c r="D48" s="8" t="n">
        <v>30</v>
      </c>
      <c r="E48" s="47" t="n">
        <v>1.36</v>
      </c>
      <c r="F48" s="7" t="n">
        <v>0</v>
      </c>
    </row>
    <row r="49" customFormat="false" ht="15" hidden="false" customHeight="true" outlineLevel="0" collapsed="false">
      <c r="A49" s="4" t="s">
        <v>865</v>
      </c>
      <c r="B49" s="5" t="n">
        <v>188.4</v>
      </c>
      <c r="C49" s="4" t="n">
        <v>1090</v>
      </c>
      <c r="D49" s="5" t="n">
        <v>27.2</v>
      </c>
      <c r="E49" s="46" t="n">
        <v>1.07</v>
      </c>
      <c r="F49" s="4" t="n">
        <v>0</v>
      </c>
    </row>
    <row r="50" customFormat="false" ht="15" hidden="false" customHeight="true" outlineLevel="0" collapsed="false">
      <c r="A50" s="7" t="s">
        <v>866</v>
      </c>
      <c r="B50" s="8" t="n">
        <v>190.4</v>
      </c>
      <c r="C50" s="7" t="n">
        <v>800</v>
      </c>
      <c r="D50" s="8" t="n">
        <v>34.1</v>
      </c>
      <c r="E50" s="47" t="n">
        <v>0.47</v>
      </c>
      <c r="F50" s="7" t="n">
        <v>1</v>
      </c>
    </row>
    <row r="51" customFormat="false" ht="15" hidden="false" customHeight="true" outlineLevel="0" collapsed="false">
      <c r="A51" s="4" t="s">
        <v>867</v>
      </c>
      <c r="B51" s="5" t="n">
        <v>220.6</v>
      </c>
      <c r="C51" s="4" t="n">
        <v>710</v>
      </c>
      <c r="D51" s="5" t="n">
        <v>42.3</v>
      </c>
      <c r="E51" s="46" t="n">
        <v>0.65</v>
      </c>
      <c r="F51" s="4" t="n">
        <v>1</v>
      </c>
    </row>
    <row r="52" customFormat="false" ht="15" hidden="false" customHeight="true" outlineLevel="0" collapsed="false">
      <c r="A52" s="7" t="s">
        <v>868</v>
      </c>
      <c r="B52" s="8" t="n">
        <v>261.5</v>
      </c>
      <c r="C52" s="7" t="n">
        <v>1969</v>
      </c>
      <c r="D52" s="8" t="n">
        <v>26.7</v>
      </c>
      <c r="E52" s="47" t="n">
        <v>1.53</v>
      </c>
      <c r="F52" s="7" t="n">
        <v>0</v>
      </c>
    </row>
    <row r="53" customFormat="false" ht="15" hidden="false" customHeight="true" outlineLevel="0" collapsed="false">
      <c r="A53" s="4" t="s">
        <v>869</v>
      </c>
      <c r="B53" s="5" t="n">
        <v>214.8</v>
      </c>
      <c r="C53" s="4" t="n">
        <v>1046</v>
      </c>
      <c r="D53" s="5" t="n">
        <v>32.1</v>
      </c>
      <c r="E53" s="46" t="n">
        <v>0.95</v>
      </c>
      <c r="F53" s="4" t="n">
        <v>0</v>
      </c>
    </row>
    <row r="54" customFormat="false" ht="15" hidden="false" customHeight="true" outlineLevel="0" collapsed="false">
      <c r="A54" s="7" t="s">
        <v>870</v>
      </c>
      <c r="B54" s="8" t="n">
        <v>181.8</v>
      </c>
      <c r="C54" s="7" t="n">
        <v>590</v>
      </c>
      <c r="D54" s="8" t="n">
        <v>39.1</v>
      </c>
      <c r="E54" s="47" t="n">
        <v>0.3</v>
      </c>
      <c r="F54" s="7" t="n">
        <v>1</v>
      </c>
    </row>
    <row r="55" customFormat="false" ht="15" hidden="false" customHeight="true" outlineLevel="0" collapsed="false">
      <c r="A55" s="4" t="s">
        <v>871</v>
      </c>
      <c r="B55" s="5" t="n">
        <v>246.7</v>
      </c>
      <c r="C55" s="4" t="n">
        <v>1855</v>
      </c>
      <c r="D55" s="5" t="n">
        <v>31.6</v>
      </c>
      <c r="E55" s="46" t="n">
        <v>1.45</v>
      </c>
      <c r="F55" s="4" t="n">
        <v>0</v>
      </c>
    </row>
    <row r="56" customFormat="false" ht="15" hidden="false" customHeight="true" outlineLevel="0" collapsed="false">
      <c r="A56" s="7" t="s">
        <v>872</v>
      </c>
      <c r="B56" s="8" t="n">
        <v>107.1</v>
      </c>
      <c r="C56" s="7" t="n">
        <v>500</v>
      </c>
      <c r="D56" s="8" t="n">
        <v>34.3</v>
      </c>
      <c r="E56" s="47" t="n">
        <v>0.33</v>
      </c>
      <c r="F56" s="7" t="n">
        <v>0</v>
      </c>
    </row>
    <row r="57" customFormat="false" ht="15" hidden="false" customHeight="true" outlineLevel="0" collapsed="false">
      <c r="A57" s="4" t="s">
        <v>873</v>
      </c>
      <c r="B57" s="5" t="n">
        <v>223.1</v>
      </c>
      <c r="C57" s="4" t="n">
        <v>1885</v>
      </c>
      <c r="D57" s="5" t="n">
        <v>26.7</v>
      </c>
      <c r="E57" s="46" t="n">
        <v>1.4</v>
      </c>
      <c r="F57" s="4" t="n">
        <v>0</v>
      </c>
    </row>
    <row r="58" customFormat="false" ht="15" hidden="false" customHeight="true" outlineLevel="0" collapsed="false">
      <c r="A58" s="7" t="s">
        <v>874</v>
      </c>
      <c r="B58" s="8" t="n">
        <v>171.1</v>
      </c>
      <c r="C58" s="7" t="n">
        <v>759</v>
      </c>
      <c r="D58" s="8" t="n">
        <v>34.1</v>
      </c>
      <c r="E58" s="47" t="n">
        <v>0.48</v>
      </c>
      <c r="F58" s="7" t="n">
        <v>1</v>
      </c>
    </row>
    <row r="59" customFormat="false" ht="15" hidden="false" customHeight="true" outlineLevel="0" collapsed="false">
      <c r="A59" s="4" t="s">
        <v>875</v>
      </c>
      <c r="B59" s="5" t="n">
        <v>386.1</v>
      </c>
      <c r="C59" s="4" t="n">
        <v>3136</v>
      </c>
      <c r="D59" s="5" t="n">
        <v>31.1</v>
      </c>
      <c r="E59" s="46" t="n">
        <v>2.84</v>
      </c>
      <c r="F59" s="4" t="n">
        <v>0</v>
      </c>
    </row>
    <row r="60" customFormat="false" ht="15" hidden="false" customHeight="true" outlineLevel="0" collapsed="false">
      <c r="A60" s="7" t="s">
        <v>876</v>
      </c>
      <c r="B60" s="8" t="n">
        <v>187.3</v>
      </c>
      <c r="C60" s="7" t="n">
        <v>718</v>
      </c>
      <c r="D60" s="8" t="n">
        <v>36.9</v>
      </c>
      <c r="E60" s="47" t="n">
        <v>0.67</v>
      </c>
      <c r="F60" s="7" t="n">
        <v>1</v>
      </c>
    </row>
    <row r="61" customFormat="false" ht="15" hidden="false" customHeight="true" outlineLevel="0" collapsed="false">
      <c r="A61" s="4" t="s">
        <v>877</v>
      </c>
      <c r="B61" s="5" t="n">
        <v>163.6</v>
      </c>
      <c r="C61" s="4" t="n">
        <v>558</v>
      </c>
      <c r="D61" s="5" t="n">
        <v>37.9</v>
      </c>
      <c r="E61" s="46" t="n">
        <v>0.62</v>
      </c>
      <c r="F61" s="4" t="n">
        <v>1</v>
      </c>
    </row>
    <row r="62" customFormat="false" ht="15" hidden="false" customHeight="true" outlineLevel="0" collapsed="false">
      <c r="A62" s="7" t="s">
        <v>878</v>
      </c>
      <c r="B62" s="8" t="n">
        <v>188.9</v>
      </c>
      <c r="C62" s="7" t="n">
        <v>500</v>
      </c>
      <c r="D62" s="8" t="n">
        <v>44.9</v>
      </c>
      <c r="E62" s="47" t="n">
        <v>0.43</v>
      </c>
      <c r="F62" s="7" t="n">
        <v>0</v>
      </c>
    </row>
    <row r="64" customFormat="false" ht="15" hidden="false" customHeight="true" outlineLevel="0" collapsed="false">
      <c r="A64" s="10" t="s">
        <v>879</v>
      </c>
      <c r="B64" s="10"/>
      <c r="C64" s="10"/>
      <c r="D64" s="10"/>
      <c r="E64" s="10"/>
      <c r="F64" s="10"/>
      <c r="G64" s="10"/>
      <c r="H64" s="10"/>
      <c r="I64" s="10"/>
    </row>
    <row r="65" customFormat="false" ht="27.75" hidden="false" customHeight="true" outlineLevel="0" collapsed="false">
      <c r="A65" s="42" t="s">
        <v>880</v>
      </c>
      <c r="B65" s="42"/>
      <c r="C65" s="42"/>
      <c r="D65" s="42"/>
      <c r="E65" s="42"/>
      <c r="F65" s="42"/>
      <c r="G65" s="42"/>
      <c r="H65" s="42"/>
    </row>
    <row r="67" customFormat="false" ht="15" hidden="false" customHeight="true" outlineLevel="0" collapsed="false">
      <c r="A67" s="11" t="s">
        <v>881</v>
      </c>
      <c r="B67" s="11"/>
      <c r="C67" s="11"/>
    </row>
    <row r="68" customFormat="false" ht="15" hidden="false" customHeight="true" outlineLevel="0" collapsed="false">
      <c r="A68" s="20" t="s">
        <v>882</v>
      </c>
      <c r="B68" s="20"/>
      <c r="C68" s="48" t="n">
        <v>0.9702</v>
      </c>
    </row>
    <row r="69" customFormat="false" ht="15" hidden="false" customHeight="true" outlineLevel="0" collapsed="false">
      <c r="A69" s="23" t="s">
        <v>883</v>
      </c>
      <c r="B69" s="23"/>
      <c r="C69" s="49" t="n">
        <v>0.9413</v>
      </c>
    </row>
    <row r="70" customFormat="false" ht="15" hidden="false" customHeight="true" outlineLevel="0" collapsed="false">
      <c r="A70" s="23" t="s">
        <v>884</v>
      </c>
      <c r="B70" s="23"/>
      <c r="C70" s="49" t="n">
        <v>0.937</v>
      </c>
    </row>
    <row r="71" customFormat="false" ht="15" hidden="false" customHeight="true" outlineLevel="0" collapsed="false">
      <c r="A71" s="22" t="s">
        <v>885</v>
      </c>
      <c r="B71" s="22"/>
      <c r="C71" s="50" t="n">
        <v>14.326</v>
      </c>
    </row>
    <row r="72" customFormat="false" ht="15" hidden="false" customHeight="true" outlineLevel="0" collapsed="false">
      <c r="A72" s="20" t="s">
        <v>797</v>
      </c>
      <c r="B72" s="20"/>
      <c r="C72" s="51" t="n">
        <v>60</v>
      </c>
    </row>
    <row r="74" customFormat="false" ht="15" hidden="false" customHeight="true" outlineLevel="0" collapsed="false">
      <c r="A74" s="11" t="s">
        <v>886</v>
      </c>
      <c r="B74" s="11"/>
      <c r="C74" s="11"/>
      <c r="D74" s="11"/>
      <c r="E74" s="11"/>
      <c r="F74" s="11"/>
    </row>
    <row r="75" customFormat="false" ht="15" hidden="false" customHeight="true" outlineLevel="0" collapsed="false">
      <c r="A75" s="11"/>
      <c r="B75" s="18" t="s">
        <v>799</v>
      </c>
      <c r="C75" s="18" t="s">
        <v>887</v>
      </c>
      <c r="D75" s="18" t="s">
        <v>888</v>
      </c>
      <c r="E75" s="18" t="s">
        <v>889</v>
      </c>
      <c r="F75" s="18" t="s">
        <v>890</v>
      </c>
    </row>
    <row r="76" customFormat="false" ht="15" hidden="false" customHeight="true" outlineLevel="0" collapsed="false">
      <c r="A76" s="52" t="s">
        <v>891</v>
      </c>
      <c r="B76" s="53" t="n">
        <v>4</v>
      </c>
      <c r="C76" s="53" t="n">
        <v>180540.2</v>
      </c>
      <c r="D76" s="53" t="n">
        <v>45135.1</v>
      </c>
      <c r="E76" s="53" t="n">
        <v>219.8</v>
      </c>
      <c r="F76" s="53" t="s">
        <v>892</v>
      </c>
    </row>
    <row r="77" customFormat="false" ht="15" hidden="false" customHeight="true" outlineLevel="0" collapsed="false">
      <c r="A77" s="54" t="s">
        <v>893</v>
      </c>
      <c r="B77" s="55" t="n">
        <v>55</v>
      </c>
      <c r="C77" s="55" t="n">
        <v>11286</v>
      </c>
      <c r="D77" s="55" t="n">
        <v>205.2</v>
      </c>
      <c r="E77" s="55"/>
      <c r="F77" s="55"/>
    </row>
    <row r="78" customFormat="false" ht="15" hidden="false" customHeight="true" outlineLevel="0" collapsed="false">
      <c r="A78" s="52" t="s">
        <v>894</v>
      </c>
      <c r="B78" s="53" t="n">
        <v>59</v>
      </c>
      <c r="C78" s="53" t="n">
        <v>191826.2</v>
      </c>
      <c r="D78" s="53"/>
      <c r="E78" s="53"/>
      <c r="F78" s="53"/>
    </row>
    <row r="80" customFormat="false" ht="15" hidden="false" customHeight="true" outlineLevel="0" collapsed="false">
      <c r="A80" s="11" t="s">
        <v>895</v>
      </c>
      <c r="B80" s="11"/>
      <c r="C80" s="11"/>
      <c r="D80" s="11"/>
      <c r="E80" s="11"/>
      <c r="F80" s="11"/>
      <c r="G80" s="11"/>
      <c r="H80" s="11"/>
      <c r="I80" s="11"/>
    </row>
    <row r="81" customFormat="false" ht="15" hidden="false" customHeight="true" outlineLevel="0" collapsed="false">
      <c r="A81" s="18" t="s">
        <v>896</v>
      </c>
      <c r="B81" s="18" t="s">
        <v>897</v>
      </c>
      <c r="C81" s="18" t="s">
        <v>898</v>
      </c>
      <c r="D81" s="18" t="s">
        <v>800</v>
      </c>
      <c r="E81" s="18" t="s">
        <v>899</v>
      </c>
      <c r="F81" s="18" t="s">
        <v>900</v>
      </c>
      <c r="G81" s="18" t="s">
        <v>901</v>
      </c>
      <c r="H81" s="18" t="s">
        <v>902</v>
      </c>
      <c r="I81" s="18"/>
    </row>
    <row r="82" customFormat="false" ht="15" hidden="false" customHeight="true" outlineLevel="0" collapsed="false">
      <c r="A82" s="52" t="s">
        <v>903</v>
      </c>
      <c r="B82" s="56" t="n">
        <v>44.9809</v>
      </c>
      <c r="C82" s="56" t="n">
        <v>18.431</v>
      </c>
      <c r="D82" s="56" t="n">
        <v>2.44</v>
      </c>
      <c r="E82" s="57" t="n">
        <v>0.0182</v>
      </c>
      <c r="F82" s="56" t="n">
        <v>7.86</v>
      </c>
      <c r="G82" s="56" t="n">
        <v>82.101</v>
      </c>
      <c r="H82" s="58" t="s">
        <v>904</v>
      </c>
      <c r="I82" s="58"/>
    </row>
    <row r="83" customFormat="false" ht="15" hidden="false" customHeight="true" outlineLevel="0" collapsed="false">
      <c r="A83" s="59" t="s">
        <v>816</v>
      </c>
      <c r="B83" s="60" t="n">
        <v>0.0643</v>
      </c>
      <c r="C83" s="60" t="n">
        <v>0.013</v>
      </c>
      <c r="D83" s="60" t="n">
        <v>5.094</v>
      </c>
      <c r="E83" s="61" t="n">
        <v>0</v>
      </c>
      <c r="F83" s="60" t="n">
        <v>0.039</v>
      </c>
      <c r="G83" s="60" t="n">
        <v>0.09</v>
      </c>
      <c r="H83" s="62" t="s">
        <v>904</v>
      </c>
      <c r="I83" s="62"/>
    </row>
    <row r="84" customFormat="false" ht="15" hidden="false" customHeight="true" outlineLevel="0" collapsed="false">
      <c r="A84" s="59" t="s">
        <v>3</v>
      </c>
      <c r="B84" s="60" t="n">
        <v>1.7023</v>
      </c>
      <c r="C84" s="60" t="n">
        <v>0.504</v>
      </c>
      <c r="D84" s="60" t="n">
        <v>3.375</v>
      </c>
      <c r="E84" s="61" t="n">
        <v>0.0015</v>
      </c>
      <c r="F84" s="60" t="n">
        <v>0.692</v>
      </c>
      <c r="G84" s="60" t="n">
        <v>2.713</v>
      </c>
      <c r="H84" s="62" t="s">
        <v>904</v>
      </c>
      <c r="I84" s="62"/>
    </row>
    <row r="85" customFormat="false" ht="15" hidden="false" customHeight="true" outlineLevel="0" collapsed="false">
      <c r="A85" s="63" t="s">
        <v>817</v>
      </c>
      <c r="B85" s="64" t="n">
        <v>24.6885</v>
      </c>
      <c r="C85" s="64" t="n">
        <v>14.256</v>
      </c>
      <c r="D85" s="64" t="n">
        <v>1.732</v>
      </c>
      <c r="E85" s="65" t="n">
        <v>0.086</v>
      </c>
      <c r="F85" s="64" t="n">
        <v>-3.882</v>
      </c>
      <c r="G85" s="64" t="n">
        <v>53.259</v>
      </c>
      <c r="H85" s="66" t="s">
        <v>905</v>
      </c>
      <c r="I85" s="66"/>
    </row>
    <row r="86" customFormat="false" ht="15" hidden="false" customHeight="true" outlineLevel="0" collapsed="false">
      <c r="A86" s="59" t="s">
        <v>818</v>
      </c>
      <c r="B86" s="60" t="n">
        <v>26.146</v>
      </c>
      <c r="C86" s="60" t="n">
        <v>5.91</v>
      </c>
      <c r="D86" s="60" t="n">
        <v>4.424</v>
      </c>
      <c r="E86" s="61" t="n">
        <v>0</v>
      </c>
      <c r="F86" s="60" t="n">
        <v>14.3</v>
      </c>
      <c r="G86" s="60" t="n">
        <v>37.992</v>
      </c>
      <c r="H86" s="62" t="s">
        <v>904</v>
      </c>
      <c r="I86" s="62"/>
    </row>
    <row r="88" customFormat="false" ht="15" hidden="false" customHeight="true" outlineLevel="0" collapsed="false">
      <c r="A88" s="18" t="s">
        <v>906</v>
      </c>
      <c r="B88" s="18"/>
      <c r="C88" s="18"/>
      <c r="D88" s="18"/>
      <c r="E88" s="18"/>
      <c r="F88" s="18"/>
      <c r="G88" s="18"/>
      <c r="H88" s="18"/>
      <c r="I88" s="18"/>
    </row>
    <row r="89" customFormat="false" ht="27.75" hidden="false" customHeight="true" outlineLevel="0" collapsed="false">
      <c r="A89" s="67" t="s">
        <v>907</v>
      </c>
      <c r="B89" s="67"/>
      <c r="C89" s="67"/>
      <c r="D89" s="67"/>
      <c r="E89" s="67"/>
      <c r="F89" s="67"/>
      <c r="G89" s="67"/>
      <c r="H89" s="67"/>
      <c r="I89" s="67"/>
    </row>
    <row r="91" customFormat="false" ht="15" hidden="false" customHeight="true" outlineLevel="0" collapsed="false">
      <c r="A91" s="10" t="s">
        <v>908</v>
      </c>
      <c r="B91" s="10"/>
      <c r="C91" s="10"/>
      <c r="D91" s="10"/>
      <c r="E91" s="10"/>
      <c r="F91" s="10"/>
      <c r="G91" s="10"/>
      <c r="H91" s="10"/>
      <c r="I91" s="10"/>
    </row>
    <row r="92" customFormat="false" ht="15" hidden="false" customHeight="true" outlineLevel="0" collapsed="false">
      <c r="A92" s="18" t="s">
        <v>909</v>
      </c>
      <c r="B92" s="18"/>
      <c r="C92" s="18"/>
      <c r="D92" s="18"/>
      <c r="E92" s="18"/>
      <c r="F92" s="18"/>
      <c r="G92" s="18"/>
      <c r="H92" s="18"/>
      <c r="I92" s="18"/>
    </row>
    <row r="93" customFormat="false" ht="43.5" hidden="false" customHeight="true" outlineLevel="0" collapsed="false">
      <c r="A93" s="19" t="s">
        <v>910</v>
      </c>
      <c r="B93" s="19"/>
      <c r="C93" s="19"/>
      <c r="D93" s="19"/>
      <c r="E93" s="19"/>
      <c r="F93" s="19"/>
      <c r="G93" s="19"/>
      <c r="H93" s="19"/>
      <c r="I93" s="19"/>
    </row>
    <row r="94" customFormat="false" ht="43.5" hidden="false" customHeight="true" outlineLevel="0" collapsed="false">
      <c r="A94" s="19" t="s">
        <v>911</v>
      </c>
      <c r="B94" s="19"/>
      <c r="C94" s="19"/>
      <c r="D94" s="19"/>
      <c r="E94" s="19"/>
      <c r="F94" s="19"/>
      <c r="G94" s="19"/>
      <c r="H94" s="19"/>
      <c r="I94" s="19"/>
    </row>
    <row r="96" customFormat="false" ht="15" hidden="false" customHeight="true" outlineLevel="0" collapsed="false">
      <c r="A96" s="18" t="s">
        <v>912</v>
      </c>
      <c r="B96" s="18"/>
      <c r="C96" s="18"/>
      <c r="D96" s="18"/>
      <c r="E96" s="18"/>
      <c r="F96" s="18"/>
      <c r="G96" s="18"/>
      <c r="H96" s="18"/>
      <c r="I96" s="18"/>
    </row>
    <row r="97" customFormat="false" ht="43.5" hidden="false" customHeight="true" outlineLevel="0" collapsed="false">
      <c r="A97" s="19" t="s">
        <v>913</v>
      </c>
      <c r="B97" s="19"/>
      <c r="C97" s="19"/>
      <c r="D97" s="19"/>
      <c r="E97" s="19"/>
      <c r="F97" s="19"/>
      <c r="G97" s="19"/>
      <c r="H97" s="19"/>
      <c r="I97" s="19"/>
    </row>
    <row r="98" customFormat="false" ht="43.5" hidden="false" customHeight="true" outlineLevel="0" collapsed="false">
      <c r="A98" s="19" t="s">
        <v>914</v>
      </c>
      <c r="B98" s="19"/>
      <c r="C98" s="19"/>
      <c r="D98" s="19"/>
      <c r="E98" s="19"/>
      <c r="F98" s="19"/>
      <c r="G98" s="19"/>
      <c r="H98" s="19"/>
      <c r="I98" s="19"/>
    </row>
    <row r="99" customFormat="false" ht="43.5" hidden="false" customHeight="true" outlineLevel="0" collapsed="false">
      <c r="A99" s="19" t="s">
        <v>915</v>
      </c>
      <c r="B99" s="19"/>
      <c r="C99" s="19"/>
      <c r="D99" s="19"/>
      <c r="E99" s="19"/>
      <c r="F99" s="19"/>
      <c r="G99" s="19"/>
      <c r="H99" s="19"/>
      <c r="I99" s="19"/>
    </row>
    <row r="101" customFormat="false" ht="15" hidden="false" customHeight="true" outlineLevel="0" collapsed="false">
      <c r="A101" s="18" t="s">
        <v>916</v>
      </c>
      <c r="B101" s="18"/>
      <c r="C101" s="18"/>
      <c r="D101" s="18"/>
      <c r="E101" s="18"/>
      <c r="F101" s="18"/>
      <c r="G101" s="18"/>
      <c r="H101" s="18"/>
      <c r="I101" s="18"/>
    </row>
    <row r="102" customFormat="false" ht="43.5" hidden="false" customHeight="true" outlineLevel="0" collapsed="false">
      <c r="A102" s="19" t="s">
        <v>917</v>
      </c>
      <c r="B102" s="19"/>
      <c r="C102" s="19"/>
      <c r="D102" s="19"/>
      <c r="E102" s="19"/>
      <c r="F102" s="19"/>
      <c r="G102" s="19"/>
      <c r="H102" s="19"/>
      <c r="I102" s="19"/>
    </row>
    <row r="103" customFormat="false" ht="43.5" hidden="false" customHeight="true" outlineLevel="0" collapsed="false">
      <c r="A103" s="19" t="s">
        <v>918</v>
      </c>
      <c r="B103" s="19"/>
      <c r="C103" s="19"/>
      <c r="D103" s="19"/>
      <c r="E103" s="19"/>
      <c r="F103" s="19"/>
      <c r="G103" s="19"/>
      <c r="H103" s="19"/>
      <c r="I103" s="19"/>
    </row>
    <row r="104" customFormat="false" ht="43.5" hidden="false" customHeight="true" outlineLevel="0" collapsed="false">
      <c r="A104" s="19" t="s">
        <v>919</v>
      </c>
      <c r="B104" s="19"/>
      <c r="C104" s="19"/>
      <c r="D104" s="19"/>
      <c r="E104" s="19"/>
      <c r="F104" s="19"/>
      <c r="G104" s="19"/>
      <c r="H104" s="19"/>
      <c r="I104" s="19"/>
    </row>
    <row r="106" customFormat="false" ht="15" hidden="false" customHeight="true" outlineLevel="0" collapsed="false">
      <c r="A106" s="18" t="s">
        <v>920</v>
      </c>
      <c r="B106" s="18"/>
      <c r="C106" s="18"/>
      <c r="D106" s="18"/>
      <c r="E106" s="18"/>
      <c r="F106" s="18"/>
      <c r="G106" s="18"/>
      <c r="H106" s="18"/>
      <c r="I106" s="18"/>
    </row>
    <row r="107" customFormat="false" ht="43.5" hidden="false" customHeight="true" outlineLevel="0" collapsed="false">
      <c r="A107" s="19" t="s">
        <v>921</v>
      </c>
      <c r="B107" s="19"/>
      <c r="C107" s="19"/>
      <c r="D107" s="19"/>
      <c r="E107" s="19"/>
      <c r="F107" s="19"/>
      <c r="G107" s="19"/>
      <c r="H107" s="19"/>
      <c r="I107" s="19"/>
    </row>
    <row r="108" customFormat="false" ht="43.5" hidden="false" customHeight="true" outlineLevel="0" collapsed="false">
      <c r="A108" s="19" t="s">
        <v>922</v>
      </c>
      <c r="B108" s="19"/>
      <c r="C108" s="19"/>
      <c r="D108" s="19"/>
      <c r="E108" s="19"/>
      <c r="F108" s="19"/>
      <c r="G108" s="19"/>
      <c r="H108" s="19"/>
      <c r="I108" s="19"/>
    </row>
  </sheetData>
  <mergeCells count="34">
    <mergeCell ref="A1:I1"/>
    <mergeCell ref="A64:I64"/>
    <mergeCell ref="A65:H65"/>
    <mergeCell ref="A67:C67"/>
    <mergeCell ref="A68:B68"/>
    <mergeCell ref="A69:B69"/>
    <mergeCell ref="A70:B70"/>
    <mergeCell ref="A71:B71"/>
    <mergeCell ref="A72:B72"/>
    <mergeCell ref="A74:F74"/>
    <mergeCell ref="A80:I80"/>
    <mergeCell ref="H81:I81"/>
    <mergeCell ref="H82:I82"/>
    <mergeCell ref="H83:I83"/>
    <mergeCell ref="H84:I84"/>
    <mergeCell ref="H85:I85"/>
    <mergeCell ref="H86:I86"/>
    <mergeCell ref="A88:I88"/>
    <mergeCell ref="A89:I89"/>
    <mergeCell ref="A91:I91"/>
    <mergeCell ref="A92:I92"/>
    <mergeCell ref="A93:I93"/>
    <mergeCell ref="A94:I94"/>
    <mergeCell ref="A96:I96"/>
    <mergeCell ref="A97:I97"/>
    <mergeCell ref="A98:I98"/>
    <mergeCell ref="A99:I99"/>
    <mergeCell ref="A101:I101"/>
    <mergeCell ref="A102:I102"/>
    <mergeCell ref="A103:I103"/>
    <mergeCell ref="A104:I104"/>
    <mergeCell ref="A106:I106"/>
    <mergeCell ref="A107:I107"/>
    <mergeCell ref="A108:I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2026-03-14T08:23:35Z</dcterms:created>
  <dc:creator>openpyxl</dc:creator>
  <dc:description/>
  <dc:language>en-US</dc:language>
  <cp:lastModifiedBy/>
  <dcterms:modified xsi:type="dcterms:W3CDTF">2026-03-14T09:16:16Z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